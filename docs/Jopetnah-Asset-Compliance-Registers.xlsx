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FA" sheetId="2" state="visible" r:id="rId4"/>
    <sheet name="FLEET" sheetId="3" state="visible" r:id="rId5"/>
    <sheet name="INS" sheetId="4" state="visible" r:id="rId6"/>
    <sheet name="CON" sheetId="5" state="visible" r:id="rId7"/>
    <sheet name="LIC" sheetId="6" state="visible" r:id="rId8"/>
    <sheet name="SW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<sst xmlns="http://schemas.openxmlformats.org/spreadsheetml/2006/main" count="277" uniqueCount="209">
  <si>
    <t xml:space="preserve">Jopetnah International Limited — Asset &amp; Compliance Registers</t>
  </si>
  <si>
    <t xml:space="preserve">Companion registers to the SOP Manual and Forms Pack, covering physical assets, vehicles, insurance, contracts, licences and software.</t>
  </si>
  <si>
    <t xml:space="preserve">Code</t>
  </si>
  <si>
    <t xml:space="preserve">Register</t>
  </si>
  <si>
    <t xml:space="preserve">Scope</t>
  </si>
  <si>
    <t xml:space="preserve">FA</t>
  </si>
  <si>
    <t xml:space="preserve">Fixed Asset Register</t>
  </si>
  <si>
    <t xml:space="preserve">Finance &amp; Administration — company-owned physical assets</t>
  </si>
  <si>
    <t xml:space="preserve">FLEET</t>
  </si>
  <si>
    <t xml:space="preserve">Vehicle &amp; Fleet Register</t>
  </si>
  <si>
    <t xml:space="preserve">Administration — Company-owned and leased vehicles</t>
  </si>
  <si>
    <t xml:space="preserve">INS</t>
  </si>
  <si>
    <t xml:space="preserve">Insurance Policy Register</t>
  </si>
  <si>
    <t xml:space="preserve">Risk Management — all Company insurance policies</t>
  </si>
  <si>
    <t xml:space="preserve">CON</t>
  </si>
  <si>
    <t xml:space="preserve">Contracts &amp; Agreements Register</t>
  </si>
  <si>
    <t xml:space="preserve">Governance — clients, suppliers, partnerships and leases</t>
  </si>
  <si>
    <t xml:space="preserve">LIC</t>
  </si>
  <si>
    <t xml:space="preserve">Licences, Permits &amp; Regulatory Registrations Register</t>
  </si>
  <si>
    <t xml:space="preserve">Governance &amp; Compliance — internal tracking behind the published Transparency page</t>
  </si>
  <si>
    <t xml:space="preserve">SW</t>
  </si>
  <si>
    <t xml:space="preserve">Software &amp; Subscriptions Register</t>
  </si>
  <si>
    <t xml:space="preserve">IT &amp; Data — SaaS subscriptions, hosting and domain services</t>
  </si>
  <si>
    <t xml:space="preserve">Colour key:</t>
  </si>
  <si>
    <t xml:space="preserve">Active / OK</t>
  </si>
  <si>
    <t xml:space="preserve">Renew / Due Soon (≤30 days) / To Be Verified / To Be Confirmed</t>
  </si>
  <si>
    <t xml:space="preserve">Expired / Overdue / Not Yet Obtained</t>
  </si>
  <si>
    <t xml:space="preserve">FA  |  Fixed Asset Register</t>
  </si>
  <si>
    <t xml:space="preserve">Jopetnah International Limited  |  Version 1.0  |  As at 26 Sep 2026  |  Finance &amp; Administration — company-owned physical assets</t>
  </si>
  <si>
    <t xml:space="preserve">Asset ID</t>
  </si>
  <si>
    <t xml:space="preserve">Category</t>
  </si>
  <si>
    <t xml:space="preserve">Description</t>
  </si>
  <si>
    <t xml:space="preserve">Location / Office</t>
  </si>
  <si>
    <t xml:space="preserve">Department / Custodian</t>
  </si>
  <si>
    <t xml:space="preserve">Serial / Asset Tag No.</t>
  </si>
  <si>
    <t xml:space="preserve">Supplier</t>
  </si>
  <si>
    <t xml:space="preserve">Acquisition Date</t>
  </si>
  <si>
    <t xml:space="preserve">Purchase Cost (UGX)</t>
  </si>
  <si>
    <t xml:space="preserve">Funding Source</t>
  </si>
  <si>
    <t xml:space="preserve">Useful Life (Years)</t>
  </si>
  <si>
    <t xml:space="preserve">Age (Years)</t>
  </si>
  <si>
    <t xml:space="preserve">Annual Depreciation (UGX)</t>
  </si>
  <si>
    <t xml:space="preserve">Accumulated Depreciation (UGX)</t>
  </si>
  <si>
    <t xml:space="preserve">Net Book Value (UGX)</t>
  </si>
  <si>
    <t xml:space="preserve">Condition</t>
  </si>
  <si>
    <t xml:space="preserve">Status</t>
  </si>
  <si>
    <t xml:space="preserve">Insurance Covered (Y/N)</t>
  </si>
  <si>
    <t xml:space="preserve">Disposal Date</t>
  </si>
  <si>
    <t xml:space="preserve">Disposal Value (UGX)</t>
  </si>
  <si>
    <t xml:space="preserve">Notes</t>
  </si>
  <si>
    <t xml:space="preserve">EXAMPLE</t>
  </si>
  <si>
    <t xml:space="preserve">IT Equipment</t>
  </si>
  <si>
    <t xml:space="preserve">Dell Latitude laptop</t>
  </si>
  <si>
    <t xml:space="preserve">Kampala HQ</t>
  </si>
  <si>
    <t xml:space="preserve">IT Support</t>
  </si>
  <si>
    <t xml:space="preserve">JOP-IT-0001</t>
  </si>
  <si>
    <t xml:space="preserve">Example Supplier Ltd</t>
  </si>
  <si>
    <t xml:space="preserve">Company Funds</t>
  </si>
  <si>
    <t xml:space="preserve">Good</t>
  </si>
  <si>
    <t xml:space="preserve">In Use</t>
  </si>
  <si>
    <t xml:space="preserve">N</t>
  </si>
  <si>
    <t xml:space="preserve">Example row — replace or delete.</t>
  </si>
  <si>
    <t xml:space="preserve">TOTAL</t>
  </si>
  <si>
    <t xml:space="preserve">FLEET  |  Vehicle &amp; Fleet Register</t>
  </si>
  <si>
    <t xml:space="preserve">Jopetnah International Limited  |  Version 1.0  |  As at 26 Sep 2026  |  Administration — Company-owned and leased vehicles</t>
  </si>
  <si>
    <t xml:space="preserve">Vehicle ID</t>
  </si>
  <si>
    <t xml:space="preserve">Registration No.</t>
  </si>
  <si>
    <t xml:space="preserve">Make / Model</t>
  </si>
  <si>
    <t xml:space="preserve">Year</t>
  </si>
  <si>
    <t xml:space="preserve">Assigned Driver / Department</t>
  </si>
  <si>
    <t xml:space="preserve">Fuel Type</t>
  </si>
  <si>
    <t xml:space="preserve">Current Odometer (km)</t>
  </si>
  <si>
    <t xml:space="preserve">Last Service Date</t>
  </si>
  <si>
    <t xml:space="preserve">Next Service Due</t>
  </si>
  <si>
    <t xml:space="preserve">Insurance Policy No.</t>
  </si>
  <si>
    <t xml:space="preserve">Insurance Expiry Date</t>
  </si>
  <si>
    <t xml:space="preserve">Insurance Status</t>
  </si>
  <si>
    <t xml:space="preserve">Road Licence Expiry</t>
  </si>
  <si>
    <t xml:space="preserve">UBA 123X</t>
  </si>
  <si>
    <t xml:space="preserve">Toyota Hilux</t>
  </si>
  <si>
    <t xml:space="preserve">Pickup</t>
  </si>
  <si>
    <t xml:space="preserve">Diesel</t>
  </si>
  <si>
    <t xml:space="preserve">INS  |  Insurance Policy Register</t>
  </si>
  <si>
    <t xml:space="preserve">Jopetnah International Limited  |  Version 1.0  |  As at 26 Sep 2026  |  Risk Management — all Company insurance policies</t>
  </si>
  <si>
    <t xml:space="preserve">Policy No.</t>
  </si>
  <si>
    <t xml:space="preserve">Insurance Type</t>
  </si>
  <si>
    <t xml:space="preserve">Insurer</t>
  </si>
  <si>
    <t xml:space="preserve">Asset(s) / Subject Covered</t>
  </si>
  <si>
    <t xml:space="preserve">Policy Start Date</t>
  </si>
  <si>
    <t xml:space="preserve">Policy Expiry Date</t>
  </si>
  <si>
    <t xml:space="preserve">Premium (UGX)</t>
  </si>
  <si>
    <t xml:space="preserve">Sum Insured (UGX)</t>
  </si>
  <si>
    <t xml:space="preserve">Days to Expiry</t>
  </si>
  <si>
    <t xml:space="preserve">Renewal Status</t>
  </si>
  <si>
    <t xml:space="preserve">Broker / Contact</t>
  </si>
  <si>
    <t xml:space="preserve">Motor Vehicle</t>
  </si>
  <si>
    <t xml:space="preserve">Example Insurance Co.</t>
  </si>
  <si>
    <t xml:space="preserve">UBA 123X (see Fleet Register)</t>
  </si>
  <si>
    <t xml:space="preserve">CON  |  Contracts &amp; Agreements Register</t>
  </si>
  <si>
    <t xml:space="preserve">Jopetnah International Limited  |  Version 1.0  |  As at 26 Sep 2026  |  Governance — clients, suppliers, partnerships and leases</t>
  </si>
  <si>
    <t xml:space="preserve">Contract Ref</t>
  </si>
  <si>
    <t xml:space="preserve">Counterparty</t>
  </si>
  <si>
    <t xml:space="preserve">Contract Type</t>
  </si>
  <si>
    <t xml:space="preserve">Description / Scope</t>
  </si>
  <si>
    <t xml:space="preserve">Start Date</t>
  </si>
  <si>
    <t xml:space="preserve">End Date</t>
  </si>
  <si>
    <t xml:space="preserve">Value (UGX)</t>
  </si>
  <si>
    <t xml:space="preserve">Auto-Renewal (Y/N)</t>
  </si>
  <si>
    <t xml:space="preserve">Notice Period (Days)</t>
  </si>
  <si>
    <t xml:space="preserve">Renewal Reminder Date</t>
  </si>
  <si>
    <t xml:space="preserve">Owner</t>
  </si>
  <si>
    <t xml:space="preserve">Annual IT support and maintenance agreement</t>
  </si>
  <si>
    <t xml:space="preserve">LIC  |  Licences, Permits &amp; Regulatory Registrations Register</t>
  </si>
  <si>
    <t xml:space="preserve">Jopetnah International Limited  |  Version 1.0  |  As at 26 Sep 2026  |  Governance &amp; Compliance — internal tracking behind the published Transparency page</t>
  </si>
  <si>
    <t xml:space="preserve">This internal register is the working record behind the "Registrations, Licences &amp; Certifications" section of the Quality, Risk &amp; Compliance page — only verified, currently valid items should be published there. Company Registration No. and TIN are pre-filled from published corporate information; all other rows are starting points to be completed and verified, consistent with the Corporate Evidence Policy. Issuing authorities named are best-knowledge starting points — confirm each with your legal or compliance advisor before relying on it.</t>
  </si>
  <si>
    <t xml:space="preserve">Licence / Permit / Registration</t>
  </si>
  <si>
    <t xml:space="preserve">Issuing Authority</t>
  </si>
  <si>
    <t xml:space="preserve">Licence/Reg. No.</t>
  </si>
  <si>
    <t xml:space="preserve">Sector / Department</t>
  </si>
  <si>
    <t xml:space="preserve">Date Issued</t>
  </si>
  <si>
    <t xml:space="preserve">Expiry Date</t>
  </si>
  <si>
    <t xml:space="preserve">Renewal Lead Time (Days)</t>
  </si>
  <si>
    <t xml:space="preserve">Responsible Owner</t>
  </si>
  <si>
    <t xml:space="preserve">Certificate of Incorporation / Company Registration</t>
  </si>
  <si>
    <t xml:space="preserve">Uganda Registration Services Bureau (URSB)</t>
  </si>
  <si>
    <t xml:space="preserve">80010001250674</t>
  </si>
  <si>
    <t xml:space="preserve">Corporate</t>
  </si>
  <si>
    <t xml:space="preserve">Active</t>
  </si>
  <si>
    <t xml:space="preserve">Company Secretary</t>
  </si>
  <si>
    <t xml:space="preserve">No expiry — company registration is permanent.</t>
  </si>
  <si>
    <t xml:space="preserve">Tax Identification Number (TIN)</t>
  </si>
  <si>
    <t xml:space="preserve">Uganda Revenue Authority (URA)</t>
  </si>
  <si>
    <t xml:space="preserve">1018486351</t>
  </si>
  <si>
    <t xml:space="preserve">Finance</t>
  </si>
  <si>
    <t xml:space="preserve">No expiry — TIN is permanent.</t>
  </si>
  <si>
    <t xml:space="preserve">Trading Licence — Kampala Head Office</t>
  </si>
  <si>
    <t xml:space="preserve">Kampala Capital City Authority (KCCA)</t>
  </si>
  <si>
    <t xml:space="preserve">TO BE COMPLETED</t>
  </si>
  <si>
    <t xml:space="preserve">To Be Verified</t>
  </si>
  <si>
    <t xml:space="preserve">Office Administrator</t>
  </si>
  <si>
    <t xml:space="preserve">Verify current status and renewal date; repeat one row per branch office.</t>
  </si>
  <si>
    <t xml:space="preserve">Tax Compliance Certificate</t>
  </si>
  <si>
    <t xml:space="preserve">Confirm validity period with URA.</t>
  </si>
  <si>
    <t xml:space="preserve">NSSF Employer Registration</t>
  </si>
  <si>
    <t xml:space="preserve">National Social Security Fund (NSSF)</t>
  </si>
  <si>
    <t xml:space="preserve">Human Resources</t>
  </si>
  <si>
    <t xml:space="preserve">HR</t>
  </si>
  <si>
    <t xml:space="preserve">No expiry — confirm registration number.</t>
  </si>
  <si>
    <t xml:space="preserve">International Employment Bureau Licence</t>
  </si>
  <si>
    <t xml:space="preserve">Ministry of Gender, Labour and Social Development</t>
  </si>
  <si>
    <t xml:space="preserve">TO BE VERIFIED</t>
  </si>
  <si>
    <t xml:space="preserve">International Employment Bureau (Sector 04)</t>
  </si>
  <si>
    <t xml:space="preserve">Confirm whether held. If not, recruitment/placement must be delivered through a licensed partner.</t>
  </si>
  <si>
    <t xml:space="preserve">Pharmaceutical / Medicines Distribution Licence</t>
  </si>
  <si>
    <t xml:space="preserve">National Drug Authority (NDA)</t>
  </si>
  <si>
    <t xml:space="preserve">Healthcare &amp; Pharmaceuticals (Sector 10)</t>
  </si>
  <si>
    <t xml:space="preserve">Departmental Head</t>
  </si>
  <si>
    <t xml:space="preserve">Confirm whether held. If not, pharmaceutical distribution must be delivered through a licensed partner.</t>
  </si>
  <si>
    <t xml:space="preserve">Petroleum Supply Operating Licence (downstream: storage, distribution, sale)</t>
  </si>
  <si>
    <t xml:space="preserve">Ministry of Energy and Mineral Development (Commissioner of Petroleum Supply)</t>
  </si>
  <si>
    <t xml:space="preserve">Petroleum, Oil, Gas &amp; Renewable Energy (Sector 14)</t>
  </si>
  <si>
    <t xml:space="preserve">Petroleum Supply Act, 2003. Note: since the Petroleum Supply (Amendment) Act, 2023, UNOC is the sole importer/supplier to licensed oil marketing companies — confirm with a legal advisor which activities Jopetnah can lawfully undertake directly.</t>
  </si>
  <si>
    <t xml:space="preserve">Upstream / Midstream Petroleum Licence (only if applicable)</t>
  </si>
  <si>
    <t xml:space="preserve">Petroleum Authority of Uganda (PAU)</t>
  </si>
  <si>
    <t xml:space="preserve">Confirm If Applicable</t>
  </si>
  <si>
    <t xml:space="preserve">Applies only if activities extend to exploration, production, refining, transmission or midstream storage. Confirm whether relevant.</t>
  </si>
  <si>
    <t xml:space="preserve">Mining / Exploration Licence</t>
  </si>
  <si>
    <t xml:space="preserve">Directorate of Geological Survey and Mines (DGSM)</t>
  </si>
  <si>
    <t xml:space="preserve">Natural Resources &amp; Mining (Sector 16)</t>
  </si>
  <si>
    <t xml:space="preserve">Confirm whether held. If not, mining-related activities must be delivered through a licensed partner.</t>
  </si>
  <si>
    <t xml:space="preserve">SW  |  Software &amp; Subscriptions Register</t>
  </si>
  <si>
    <t xml:space="preserve">Jopetnah International Limited  |  Version 1.0  |  As at 26 Sep 2026  |  IT &amp; Data — SaaS subscriptions, hosting and domain services</t>
  </si>
  <si>
    <t xml:space="preserve">Software / Service</t>
  </si>
  <si>
    <t xml:space="preserve">Vendor</t>
  </si>
  <si>
    <t xml:space="preserve">Licence Type</t>
  </si>
  <si>
    <t xml:space="preserve">Seats / Users</t>
  </si>
  <si>
    <t xml:space="preserve">Cost (UGX)</t>
  </si>
  <si>
    <t xml:space="preserve">Billing Frequency</t>
  </si>
  <si>
    <t xml:space="preserve">Renewal Date</t>
  </si>
  <si>
    <t xml:space="preserve">Days to Renewal</t>
  </si>
  <si>
    <t xml:space="preserve">Auto-Renew (Y/N)</t>
  </si>
  <si>
    <t xml:space="preserve">Owner / Department</t>
  </si>
  <si>
    <t xml:space="preserve">GitHub Pages (website hosting)</t>
  </si>
  <si>
    <t xml:space="preserve">Hosting &amp; Domain</t>
  </si>
  <si>
    <t xml:space="preserve">GitHub</t>
  </si>
  <si>
    <t xml:space="preserve">Free tier</t>
  </si>
  <si>
    <t xml:space="preserve">N/A</t>
  </si>
  <si>
    <t xml:space="preserve">Current site host at jopetnahinternationallimited.github.io; will change when the custom domain goes live.</t>
  </si>
  <si>
    <t xml:space="preserve">www.jopetnah.com (domain registration)</t>
  </si>
  <si>
    <t xml:space="preserve">TO BE COMPLETED (registrar)</t>
  </si>
  <si>
    <t xml:space="preserve">Subscription</t>
  </si>
  <si>
    <t xml:space="preserve">Annual</t>
  </si>
  <si>
    <t xml:space="preserve">Y</t>
  </si>
  <si>
    <t xml:space="preserve">To Be Confirmed</t>
  </si>
  <si>
    <t xml:space="preserve">Intended primary domain. Registration details and DNS connection to GitHub Pages still to be confirmed — see Custom Domain status in the README.</t>
  </si>
  <si>
    <t xml:space="preserve">Google Fonts (Poppins, Lora)</t>
  </si>
  <si>
    <t xml:space="preserve">Design</t>
  </si>
  <si>
    <t xml:space="preserve">Google</t>
  </si>
  <si>
    <t xml:space="preserve">Free</t>
  </si>
  <si>
    <t xml:space="preserve">Used site-wide for typography; no account or renewal required.</t>
  </si>
  <si>
    <t xml:space="preserve">Formspree (contact form processing)</t>
  </si>
  <si>
    <t xml:space="preserve">Communication</t>
  </si>
  <si>
    <t xml:space="preserve">Formspree</t>
  </si>
  <si>
    <t xml:space="preserve">TO BE COMPLETED (Free/Paid tier)</t>
  </si>
  <si>
    <t xml:space="preserve">Monthly</t>
  </si>
  <si>
    <t xml:space="preserve">Processes Contact page submissions; confirm current plan and submission limits.</t>
  </si>
  <si>
    <t xml:space="preserve">Company email (jopetnah.intl.ltd@gmail.com)</t>
  </si>
  <si>
    <t xml:space="preserve">Google (Gmail)</t>
  </si>
  <si>
    <t xml:space="preserve">Consider migrating to a Company-domain email (e.g. Google Workspace) once the custom domain is live.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</si>
</sst>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#,##0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E23"/>
      <name val="Arial"/>
      <family val="0"/>
      <charset val="1"/>
    </font>
    <font>
      <i val="true"/>
      <sz val="10"/>
      <color rgb="FF5355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E86D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B1E23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3555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1E23"/>
        <bgColor rgb="FF333300"/>
      </patternFill>
    </fill>
    <fill>
      <patternFill patternType="solid">
        <fgColor rgb="FFE6F4EA"/>
        <bgColor rgb="FFFDEAEA"/>
      </patternFill>
    </fill>
    <fill>
      <patternFill patternType="solid">
        <fgColor rgb="FFFFF3CD"/>
        <bgColor rgb="FFFDEAEA"/>
      </patternFill>
    </fill>
    <fill>
      <patternFill patternType="solid">
        <fgColor rgb="FFFDEAEA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E0151B"/>
        <sz val="9"/>
      </font>
      <fill>
        <patternFill>
          <bgColor rgb="FFFDEAEA"/>
        </patternFill>
      </fill>
    </dxf>
    <dxf>
      <fill>
        <patternFill>
          <bgColor rgb="FFFFF3CD"/>
        </patternFill>
      </fill>
    </dxf>
    <dxf>
      <fill>
        <patternFill>
          <bgColor rgb="FFE6F4EA"/>
        </patternFill>
      </fill>
    </dxf>
  </dxfs>
  <colors>
    <indexedColors>
      <rgbColor rgb="FF000000"/>
      <rgbColor rgb="FFFFFFFF"/>
      <rgbColor rgb="FFE015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6F4EA"/>
      <rgbColor rgb="FF660066"/>
      <rgbColor rgb="FFFF8080"/>
      <rgbColor rgb="FF0E86D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55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E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Jopetnah-Asset-Compliance-Registers.xlsx" TargetMode="External"/><Relationship Id="rId2" Type="http://schemas.openxmlformats.org/officeDocument/2006/relationships/hyperlink" Target="Jopetnah-Asset-Compliance-Registers.xlsx" TargetMode="External"/><Relationship Id="rId3" Type="http://schemas.openxmlformats.org/officeDocument/2006/relationships/hyperlink" Target="Jopetnah-Asset-Compliance-Registers.xlsx" TargetMode="External"/><Relationship Id="rId4" Type="http://schemas.openxmlformats.org/officeDocument/2006/relationships/hyperlink" Target="Jopetnah-Asset-Compliance-Registers.xlsx" TargetMode="External"/><Relationship Id="rId5" Type="http://schemas.openxmlformats.org/officeDocument/2006/relationships/hyperlink" Target="Jopetnah-Asset-Compliance-Registers.xlsx" TargetMode="External"/><Relationship Id="rId6" Type="http://schemas.openxmlformats.org/officeDocument/2006/relationships/hyperlink" Target="Jopetnah-Asset-Compliance-Register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6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6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6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6" t="s">
        <v>16</v>
      </c>
    </row>
    <row r="9" customFormat="false" ht="23.85" hidden="false" customHeight="false" outlineLevel="0" collapsed="false">
      <c r="A9" s="4" t="s">
        <v>17</v>
      </c>
      <c r="B9" s="5" t="s">
        <v>18</v>
      </c>
      <c r="C9" s="6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6" t="s">
        <v>22</v>
      </c>
    </row>
    <row r="12" customFormat="false" ht="15" hidden="false" customHeight="false" outlineLevel="0" collapsed="false">
      <c r="A12" s="7" t="s">
        <v>23</v>
      </c>
    </row>
    <row r="13" customFormat="false" ht="15" hidden="false" customHeight="false" outlineLevel="0" collapsed="false">
      <c r="A13" s="8"/>
      <c r="B13" s="9" t="s">
        <v>24</v>
      </c>
    </row>
    <row r="14" customFormat="false" ht="15" hidden="false" customHeight="false" outlineLevel="0" collapsed="false">
      <c r="A14" s="10"/>
      <c r="B14" s="9" t="s">
        <v>25</v>
      </c>
    </row>
    <row r="15" customFormat="false" ht="15" hidden="false" customHeight="false" outlineLevel="0" collapsed="false">
      <c r="A15" s="11"/>
      <c r="B15" s="9" t="s">
        <v>26</v>
      </c>
    </row>
  </sheetData>
  <mergeCells count="1">
    <mergeCell ref="A2:C2"/>
  </mergeCells>
  <hyperlinks>
    <hyperlink ref="A5" r:id="rId1" location="'FA'!A1" display="FA"/>
    <hyperlink ref="A6" r:id="rId2" location="'FLEET'!A1" display="FLEET"/>
    <hyperlink ref="A7" r:id="rId3" location="'INS'!A1" display="INS"/>
    <hyperlink ref="A8" r:id="rId4" location="'CON'!A1" display="CON"/>
    <hyperlink ref="A9" r:id="rId5" location="'LIC'!A1" display="LIC"/>
    <hyperlink ref="A10" r:id="rId6" location="'SW'!A1" display="S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0"/>
    <col collapsed="false" customWidth="true" hidden="false" outlineLevel="0" max="18" min="17" style="0" width="12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1" min="21" style="0" width="26"/>
  </cols>
  <sheetData>
    <row r="1" customFormat="false" ht="16.15" hidden="false" customHeight="false" outlineLevel="0" collapsed="false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customFormat="false" ht="15" hidden="false" customHeight="false" outlineLevel="0" collapsed="false">
      <c r="A2" s="13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5" customFormat="false" ht="32.8" hidden="false" customHeight="false" outlineLevel="0" collapsed="false">
      <c r="A5" s="14" t="s">
        <v>29</v>
      </c>
      <c r="B5" s="14" t="s">
        <v>30</v>
      </c>
      <c r="C5" s="14" t="s">
        <v>31</v>
      </c>
      <c r="D5" s="14" t="s">
        <v>32</v>
      </c>
      <c r="E5" s="14" t="s">
        <v>33</v>
      </c>
      <c r="F5" s="14" t="s">
        <v>34</v>
      </c>
      <c r="G5" s="14" t="s">
        <v>35</v>
      </c>
      <c r="H5" s="14" t="s">
        <v>36</v>
      </c>
      <c r="I5" s="14" t="s">
        <v>37</v>
      </c>
      <c r="J5" s="14" t="s">
        <v>38</v>
      </c>
      <c r="K5" s="14" t="s">
        <v>39</v>
      </c>
      <c r="L5" s="14" t="s">
        <v>40</v>
      </c>
      <c r="M5" s="14" t="s">
        <v>41</v>
      </c>
      <c r="N5" s="14" t="s">
        <v>42</v>
      </c>
      <c r="O5" s="14" t="s">
        <v>43</v>
      </c>
      <c r="P5" s="14" t="s">
        <v>44</v>
      </c>
      <c r="Q5" s="14" t="s">
        <v>45</v>
      </c>
      <c r="R5" s="14" t="s">
        <v>46</v>
      </c>
      <c r="S5" s="14" t="s">
        <v>47</v>
      </c>
      <c r="T5" s="14" t="s">
        <v>48</v>
      </c>
      <c r="U5" s="14" t="s">
        <v>49</v>
      </c>
    </row>
    <row r="6" customFormat="false" ht="22.35" hidden="false" customHeight="false" outlineLevel="0" collapsed="false">
      <c r="A6" s="15" t="s">
        <v>50</v>
      </c>
      <c r="B6" s="15" t="s">
        <v>51</v>
      </c>
      <c r="C6" s="15" t="s">
        <v>52</v>
      </c>
      <c r="D6" s="15" t="s">
        <v>53</v>
      </c>
      <c r="E6" s="15" t="s">
        <v>54</v>
      </c>
      <c r="F6" s="15" t="s">
        <v>55</v>
      </c>
      <c r="G6" s="15" t="s">
        <v>56</v>
      </c>
      <c r="H6" s="16" t="n">
        <v>45561</v>
      </c>
      <c r="I6" s="17" t="n">
        <v>3500000</v>
      </c>
      <c r="J6" s="15" t="s">
        <v>57</v>
      </c>
      <c r="K6" s="15" t="n">
        <v>4</v>
      </c>
      <c r="L6" s="18" t="n">
        <f aca="true">IF(H6="","",ROUND((TODAY()-H6)/365,1))</f>
        <v>2</v>
      </c>
      <c r="M6" s="19" t="n">
        <f aca="false">IF(OR(I6="",K6="",K6=0),"",ROUND(I6/K6,0))</f>
        <v>875000</v>
      </c>
      <c r="N6" s="19" t="n">
        <f aca="false">IF(OR(M6="",L6=""),"",MIN(M6*L6,I6))</f>
        <v>1750000</v>
      </c>
      <c r="O6" s="19" t="n">
        <f aca="false">IF(OR(I6="",N6=""),"",I6-N6)</f>
        <v>1750000</v>
      </c>
      <c r="P6" s="15" t="s">
        <v>58</v>
      </c>
      <c r="Q6" s="15" t="s">
        <v>59</v>
      </c>
      <c r="R6" s="15" t="s">
        <v>60</v>
      </c>
      <c r="S6" s="16"/>
      <c r="T6" s="17"/>
      <c r="U6" s="15" t="s">
        <v>61</v>
      </c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1"/>
      <c r="I7" s="22"/>
      <c r="J7" s="20"/>
      <c r="K7" s="20"/>
      <c r="L7" s="18" t="str">
        <f aca="true">IF(H7="","",ROUND((TODAY()-H7)/365,1))</f>
        <v/>
      </c>
      <c r="M7" s="19" t="str">
        <f aca="false">IF(OR(I7="",K7="",K7=0),"",ROUND(I7/K7,0))</f>
        <v/>
      </c>
      <c r="N7" s="19" t="str">
        <f aca="false">IF(OR(M7="",L7=""),"",MIN(M7*L7,I7))</f>
        <v/>
      </c>
      <c r="O7" s="19" t="str">
        <f aca="false">IF(OR(I7="",N7=""),"",I7-N7)</f>
        <v/>
      </c>
      <c r="P7" s="20"/>
      <c r="Q7" s="20"/>
      <c r="R7" s="20"/>
      <c r="S7" s="21"/>
      <c r="T7" s="22"/>
      <c r="U7" s="20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1"/>
      <c r="I8" s="22"/>
      <c r="J8" s="20"/>
      <c r="K8" s="20"/>
      <c r="L8" s="18" t="str">
        <f aca="true">IF(H8="","",ROUND((TODAY()-H8)/365,1))</f>
        <v/>
      </c>
      <c r="M8" s="19" t="str">
        <f aca="false">IF(OR(I8="",K8="",K8=0),"",ROUND(I8/K8,0))</f>
        <v/>
      </c>
      <c r="N8" s="19" t="str">
        <f aca="false">IF(OR(M8="",L8=""),"",MIN(M8*L8,I8))</f>
        <v/>
      </c>
      <c r="O8" s="19" t="str">
        <f aca="false">IF(OR(I8="",N8=""),"",I8-N8)</f>
        <v/>
      </c>
      <c r="P8" s="20"/>
      <c r="Q8" s="20"/>
      <c r="R8" s="20"/>
      <c r="S8" s="21"/>
      <c r="T8" s="22"/>
      <c r="U8" s="20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1"/>
      <c r="I9" s="22"/>
      <c r="J9" s="20"/>
      <c r="K9" s="20"/>
      <c r="L9" s="18" t="str">
        <f aca="true">IF(H9="","",ROUND((TODAY()-H9)/365,1))</f>
        <v/>
      </c>
      <c r="M9" s="19" t="str">
        <f aca="false">IF(OR(I9="",K9="",K9=0),"",ROUND(I9/K9,0))</f>
        <v/>
      </c>
      <c r="N9" s="19" t="str">
        <f aca="false">IF(OR(M9="",L9=""),"",MIN(M9*L9,I9))</f>
        <v/>
      </c>
      <c r="O9" s="19" t="str">
        <f aca="false">IF(OR(I9="",N9=""),"",I9-N9)</f>
        <v/>
      </c>
      <c r="P9" s="20"/>
      <c r="Q9" s="20"/>
      <c r="R9" s="20"/>
      <c r="S9" s="21"/>
      <c r="T9" s="22"/>
      <c r="U9" s="20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1"/>
      <c r="I10" s="22"/>
      <c r="J10" s="20"/>
      <c r="K10" s="20"/>
      <c r="L10" s="18" t="str">
        <f aca="true">IF(H10="","",ROUND((TODAY()-H10)/365,1))</f>
        <v/>
      </c>
      <c r="M10" s="19" t="str">
        <f aca="false">IF(OR(I10="",K10="",K10=0),"",ROUND(I10/K10,0))</f>
        <v/>
      </c>
      <c r="N10" s="19" t="str">
        <f aca="false">IF(OR(M10="",L10=""),"",MIN(M10*L10,I10))</f>
        <v/>
      </c>
      <c r="O10" s="19" t="str">
        <f aca="false">IF(OR(I10="",N10=""),"",I10-N10)</f>
        <v/>
      </c>
      <c r="P10" s="20"/>
      <c r="Q10" s="20"/>
      <c r="R10" s="20"/>
      <c r="S10" s="21"/>
      <c r="T10" s="22"/>
      <c r="U10" s="20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1"/>
      <c r="I11" s="22"/>
      <c r="J11" s="20"/>
      <c r="K11" s="20"/>
      <c r="L11" s="18" t="str">
        <f aca="true">IF(H11="","",ROUND((TODAY()-H11)/365,1))</f>
        <v/>
      </c>
      <c r="M11" s="19" t="str">
        <f aca="false">IF(OR(I11="",K11="",K11=0),"",ROUND(I11/K11,0))</f>
        <v/>
      </c>
      <c r="N11" s="19" t="str">
        <f aca="false">IF(OR(M11="",L11=""),"",MIN(M11*L11,I11))</f>
        <v/>
      </c>
      <c r="O11" s="19" t="str">
        <f aca="false">IF(OR(I11="",N11=""),"",I11-N11)</f>
        <v/>
      </c>
      <c r="P11" s="20"/>
      <c r="Q11" s="20"/>
      <c r="R11" s="20"/>
      <c r="S11" s="21"/>
      <c r="T11" s="22"/>
      <c r="U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1"/>
      <c r="I12" s="22"/>
      <c r="J12" s="20"/>
      <c r="K12" s="20"/>
      <c r="L12" s="18" t="str">
        <f aca="true">IF(H12="","",ROUND((TODAY()-H12)/365,1))</f>
        <v/>
      </c>
      <c r="M12" s="19" t="str">
        <f aca="false">IF(OR(I12="",K12="",K12=0),"",ROUND(I12/K12,0))</f>
        <v/>
      </c>
      <c r="N12" s="19" t="str">
        <f aca="false">IF(OR(M12="",L12=""),"",MIN(M12*L12,I12))</f>
        <v/>
      </c>
      <c r="O12" s="19" t="str">
        <f aca="false">IF(OR(I12="",N12=""),"",I12-N12)</f>
        <v/>
      </c>
      <c r="P12" s="20"/>
      <c r="Q12" s="20"/>
      <c r="R12" s="20"/>
      <c r="S12" s="21"/>
      <c r="T12" s="22"/>
      <c r="U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1"/>
      <c r="I13" s="22"/>
      <c r="J13" s="20"/>
      <c r="K13" s="20"/>
      <c r="L13" s="18" t="str">
        <f aca="true">IF(H13="","",ROUND((TODAY()-H13)/365,1))</f>
        <v/>
      </c>
      <c r="M13" s="19" t="str">
        <f aca="false">IF(OR(I13="",K13="",K13=0),"",ROUND(I13/K13,0))</f>
        <v/>
      </c>
      <c r="N13" s="19" t="str">
        <f aca="false">IF(OR(M13="",L13=""),"",MIN(M13*L13,I13))</f>
        <v/>
      </c>
      <c r="O13" s="19" t="str">
        <f aca="false">IF(OR(I13="",N13=""),"",I13-N13)</f>
        <v/>
      </c>
      <c r="P13" s="20"/>
      <c r="Q13" s="20"/>
      <c r="R13" s="20"/>
      <c r="S13" s="21"/>
      <c r="T13" s="22"/>
      <c r="U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1"/>
      <c r="I14" s="22"/>
      <c r="J14" s="20"/>
      <c r="K14" s="20"/>
      <c r="L14" s="18" t="str">
        <f aca="true">IF(H14="","",ROUND((TODAY()-H14)/365,1))</f>
        <v/>
      </c>
      <c r="M14" s="19" t="str">
        <f aca="false">IF(OR(I14="",K14="",K14=0),"",ROUND(I14/K14,0))</f>
        <v/>
      </c>
      <c r="N14" s="19" t="str">
        <f aca="false">IF(OR(M14="",L14=""),"",MIN(M14*L14,I14))</f>
        <v/>
      </c>
      <c r="O14" s="19" t="str">
        <f aca="false">IF(OR(I14="",N14=""),"",I14-N14)</f>
        <v/>
      </c>
      <c r="P14" s="20"/>
      <c r="Q14" s="20"/>
      <c r="R14" s="20"/>
      <c r="S14" s="21"/>
      <c r="T14" s="22"/>
      <c r="U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1"/>
      <c r="I15" s="22"/>
      <c r="J15" s="20"/>
      <c r="K15" s="20"/>
      <c r="L15" s="18" t="str">
        <f aca="true">IF(H15="","",ROUND((TODAY()-H15)/365,1))</f>
        <v/>
      </c>
      <c r="M15" s="19" t="str">
        <f aca="false">IF(OR(I15="",K15="",K15=0),"",ROUND(I15/K15,0))</f>
        <v/>
      </c>
      <c r="N15" s="19" t="str">
        <f aca="false">IF(OR(M15="",L15=""),"",MIN(M15*L15,I15))</f>
        <v/>
      </c>
      <c r="O15" s="19" t="str">
        <f aca="false">IF(OR(I15="",N15=""),"",I15-N15)</f>
        <v/>
      </c>
      <c r="P15" s="20"/>
      <c r="Q15" s="20"/>
      <c r="R15" s="20"/>
      <c r="S15" s="21"/>
      <c r="T15" s="22"/>
      <c r="U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1"/>
      <c r="I16" s="22"/>
      <c r="J16" s="20"/>
      <c r="K16" s="20"/>
      <c r="L16" s="18" t="str">
        <f aca="true">IF(H16="","",ROUND((TODAY()-H16)/365,1))</f>
        <v/>
      </c>
      <c r="M16" s="19" t="str">
        <f aca="false">IF(OR(I16="",K16="",K16=0),"",ROUND(I16/K16,0))</f>
        <v/>
      </c>
      <c r="N16" s="19" t="str">
        <f aca="false">IF(OR(M16="",L16=""),"",MIN(M16*L16,I16))</f>
        <v/>
      </c>
      <c r="O16" s="19" t="str">
        <f aca="false">IF(OR(I16="",N16=""),"",I16-N16)</f>
        <v/>
      </c>
      <c r="P16" s="20"/>
      <c r="Q16" s="20"/>
      <c r="R16" s="20"/>
      <c r="S16" s="21"/>
      <c r="T16" s="22"/>
      <c r="U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1"/>
      <c r="I17" s="22"/>
      <c r="J17" s="20"/>
      <c r="K17" s="20"/>
      <c r="L17" s="18" t="str">
        <f aca="true">IF(H17="","",ROUND((TODAY()-H17)/365,1))</f>
        <v/>
      </c>
      <c r="M17" s="19" t="str">
        <f aca="false">IF(OR(I17="",K17="",K17=0),"",ROUND(I17/K17,0))</f>
        <v/>
      </c>
      <c r="N17" s="19" t="str">
        <f aca="false">IF(OR(M17="",L17=""),"",MIN(M17*L17,I17))</f>
        <v/>
      </c>
      <c r="O17" s="19" t="str">
        <f aca="false">IF(OR(I17="",N17=""),"",I17-N17)</f>
        <v/>
      </c>
      <c r="P17" s="20"/>
      <c r="Q17" s="20"/>
      <c r="R17" s="20"/>
      <c r="S17" s="21"/>
      <c r="T17" s="22"/>
      <c r="U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1"/>
      <c r="I18" s="22"/>
      <c r="J18" s="20"/>
      <c r="K18" s="20"/>
      <c r="L18" s="18" t="str">
        <f aca="true">IF(H18="","",ROUND((TODAY()-H18)/365,1))</f>
        <v/>
      </c>
      <c r="M18" s="19" t="str">
        <f aca="false">IF(OR(I18="",K18="",K18=0),"",ROUND(I18/K18,0))</f>
        <v/>
      </c>
      <c r="N18" s="19" t="str">
        <f aca="false">IF(OR(M18="",L18=""),"",MIN(M18*L18,I18))</f>
        <v/>
      </c>
      <c r="O18" s="19" t="str">
        <f aca="false">IF(OR(I18="",N18=""),"",I18-N18)</f>
        <v/>
      </c>
      <c r="P18" s="20"/>
      <c r="Q18" s="20"/>
      <c r="R18" s="20"/>
      <c r="S18" s="21"/>
      <c r="T18" s="22"/>
      <c r="U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1"/>
      <c r="I19" s="22"/>
      <c r="J19" s="20"/>
      <c r="K19" s="20"/>
      <c r="L19" s="18" t="str">
        <f aca="true">IF(H19="","",ROUND((TODAY()-H19)/365,1))</f>
        <v/>
      </c>
      <c r="M19" s="19" t="str">
        <f aca="false">IF(OR(I19="",K19="",K19=0),"",ROUND(I19/K19,0))</f>
        <v/>
      </c>
      <c r="N19" s="19" t="str">
        <f aca="false">IF(OR(M19="",L19=""),"",MIN(M19*L19,I19))</f>
        <v/>
      </c>
      <c r="O19" s="19" t="str">
        <f aca="false">IF(OR(I19="",N19=""),"",I19-N19)</f>
        <v/>
      </c>
      <c r="P19" s="20"/>
      <c r="Q19" s="20"/>
      <c r="R19" s="20"/>
      <c r="S19" s="21"/>
      <c r="T19" s="22"/>
      <c r="U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1"/>
      <c r="I20" s="22"/>
      <c r="J20" s="20"/>
      <c r="K20" s="20"/>
      <c r="L20" s="18" t="str">
        <f aca="true">IF(H20="","",ROUND((TODAY()-H20)/365,1))</f>
        <v/>
      </c>
      <c r="M20" s="19" t="str">
        <f aca="false">IF(OR(I20="",K20="",K20=0),"",ROUND(I20/K20,0))</f>
        <v/>
      </c>
      <c r="N20" s="19" t="str">
        <f aca="false">IF(OR(M20="",L20=""),"",MIN(M20*L20,I20))</f>
        <v/>
      </c>
      <c r="O20" s="19" t="str">
        <f aca="false">IF(OR(I20="",N20=""),"",I20-N20)</f>
        <v/>
      </c>
      <c r="P20" s="20"/>
      <c r="Q20" s="20"/>
      <c r="R20" s="20"/>
      <c r="S20" s="21"/>
      <c r="T20" s="22"/>
      <c r="U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1"/>
      <c r="I21" s="22"/>
      <c r="J21" s="20"/>
      <c r="K21" s="20"/>
      <c r="L21" s="18" t="str">
        <f aca="true">IF(H21="","",ROUND((TODAY()-H21)/365,1))</f>
        <v/>
      </c>
      <c r="M21" s="19" t="str">
        <f aca="false">IF(OR(I21="",K21="",K21=0),"",ROUND(I21/K21,0))</f>
        <v/>
      </c>
      <c r="N21" s="19" t="str">
        <f aca="false">IF(OR(M21="",L21=""),"",MIN(M21*L21,I21))</f>
        <v/>
      </c>
      <c r="O21" s="19" t="str">
        <f aca="false">IF(OR(I21="",N21=""),"",I21-N21)</f>
        <v/>
      </c>
      <c r="P21" s="20"/>
      <c r="Q21" s="20"/>
      <c r="R21" s="20"/>
      <c r="S21" s="21"/>
      <c r="T21" s="22"/>
      <c r="U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1"/>
      <c r="I22" s="22"/>
      <c r="J22" s="20"/>
      <c r="K22" s="20"/>
      <c r="L22" s="18" t="str">
        <f aca="true">IF(H22="","",ROUND((TODAY()-H22)/365,1))</f>
        <v/>
      </c>
      <c r="M22" s="19" t="str">
        <f aca="false">IF(OR(I22="",K22="",K22=0),"",ROUND(I22/K22,0))</f>
        <v/>
      </c>
      <c r="N22" s="19" t="str">
        <f aca="false">IF(OR(M22="",L22=""),"",MIN(M22*L22,I22))</f>
        <v/>
      </c>
      <c r="O22" s="19" t="str">
        <f aca="false">IF(OR(I22="",N22=""),"",I22-N22)</f>
        <v/>
      </c>
      <c r="P22" s="20"/>
      <c r="Q22" s="20"/>
      <c r="R22" s="20"/>
      <c r="S22" s="21"/>
      <c r="T22" s="22"/>
      <c r="U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1"/>
      <c r="I23" s="22"/>
      <c r="J23" s="20"/>
      <c r="K23" s="20"/>
      <c r="L23" s="18" t="str">
        <f aca="true">IF(H23="","",ROUND((TODAY()-H23)/365,1))</f>
        <v/>
      </c>
      <c r="M23" s="19" t="str">
        <f aca="false">IF(OR(I23="",K23="",K23=0),"",ROUND(I23/K23,0))</f>
        <v/>
      </c>
      <c r="N23" s="19" t="str">
        <f aca="false">IF(OR(M23="",L23=""),"",MIN(M23*L23,I23))</f>
        <v/>
      </c>
      <c r="O23" s="19" t="str">
        <f aca="false">IF(OR(I23="",N23=""),"",I23-N23)</f>
        <v/>
      </c>
      <c r="P23" s="20"/>
      <c r="Q23" s="20"/>
      <c r="R23" s="20"/>
      <c r="S23" s="21"/>
      <c r="T23" s="22"/>
      <c r="U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1"/>
      <c r="I24" s="22"/>
      <c r="J24" s="20"/>
      <c r="K24" s="20"/>
      <c r="L24" s="18" t="str">
        <f aca="true">IF(H24="","",ROUND((TODAY()-H24)/365,1))</f>
        <v/>
      </c>
      <c r="M24" s="19" t="str">
        <f aca="false">IF(OR(I24="",K24="",K24=0),"",ROUND(I24/K24,0))</f>
        <v/>
      </c>
      <c r="N24" s="19" t="str">
        <f aca="false">IF(OR(M24="",L24=""),"",MIN(M24*L24,I24))</f>
        <v/>
      </c>
      <c r="O24" s="19" t="str">
        <f aca="false">IF(OR(I24="",N24=""),"",I24-N24)</f>
        <v/>
      </c>
      <c r="P24" s="20"/>
      <c r="Q24" s="20"/>
      <c r="R24" s="20"/>
      <c r="S24" s="21"/>
      <c r="T24" s="22"/>
      <c r="U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1"/>
      <c r="I25" s="22"/>
      <c r="J25" s="20"/>
      <c r="K25" s="20"/>
      <c r="L25" s="18" t="str">
        <f aca="true">IF(H25="","",ROUND((TODAY()-H25)/365,1))</f>
        <v/>
      </c>
      <c r="M25" s="19" t="str">
        <f aca="false">IF(OR(I25="",K25="",K25=0),"",ROUND(I25/K25,0))</f>
        <v/>
      </c>
      <c r="N25" s="19" t="str">
        <f aca="false">IF(OR(M25="",L25=""),"",MIN(M25*L25,I25))</f>
        <v/>
      </c>
      <c r="O25" s="19" t="str">
        <f aca="false">IF(OR(I25="",N25=""),"",I25-N25)</f>
        <v/>
      </c>
      <c r="P25" s="20"/>
      <c r="Q25" s="20"/>
      <c r="R25" s="20"/>
      <c r="S25" s="21"/>
      <c r="T25" s="22"/>
      <c r="U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1"/>
      <c r="I26" s="22"/>
      <c r="J26" s="20"/>
      <c r="K26" s="20"/>
      <c r="L26" s="18" t="str">
        <f aca="true">IF(H26="","",ROUND((TODAY()-H26)/365,1))</f>
        <v/>
      </c>
      <c r="M26" s="19" t="str">
        <f aca="false">IF(OR(I26="",K26="",K26=0),"",ROUND(I26/K26,0))</f>
        <v/>
      </c>
      <c r="N26" s="19" t="str">
        <f aca="false">IF(OR(M26="",L26=""),"",MIN(M26*L26,I26))</f>
        <v/>
      </c>
      <c r="O26" s="19" t="str">
        <f aca="false">IF(OR(I26="",N26=""),"",I26-N26)</f>
        <v/>
      </c>
      <c r="P26" s="20"/>
      <c r="Q26" s="20"/>
      <c r="R26" s="20"/>
      <c r="S26" s="21"/>
      <c r="T26" s="22"/>
      <c r="U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1"/>
      <c r="I27" s="22"/>
      <c r="J27" s="20"/>
      <c r="K27" s="20"/>
      <c r="L27" s="18" t="str">
        <f aca="true">IF(H27="","",ROUND((TODAY()-H27)/365,1))</f>
        <v/>
      </c>
      <c r="M27" s="19" t="str">
        <f aca="false">IF(OR(I27="",K27="",K27=0),"",ROUND(I27/K27,0))</f>
        <v/>
      </c>
      <c r="N27" s="19" t="str">
        <f aca="false">IF(OR(M27="",L27=""),"",MIN(M27*L27,I27))</f>
        <v/>
      </c>
      <c r="O27" s="19" t="str">
        <f aca="false">IF(OR(I27="",N27=""),"",I27-N27)</f>
        <v/>
      </c>
      <c r="P27" s="20"/>
      <c r="Q27" s="20"/>
      <c r="R27" s="20"/>
      <c r="S27" s="21"/>
      <c r="T27" s="22"/>
      <c r="U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1"/>
      <c r="I28" s="22"/>
      <c r="J28" s="20"/>
      <c r="K28" s="20"/>
      <c r="L28" s="18" t="str">
        <f aca="true">IF(H28="","",ROUND((TODAY()-H28)/365,1))</f>
        <v/>
      </c>
      <c r="M28" s="19" t="str">
        <f aca="false">IF(OR(I28="",K28="",K28=0),"",ROUND(I28/K28,0))</f>
        <v/>
      </c>
      <c r="N28" s="19" t="str">
        <f aca="false">IF(OR(M28="",L28=""),"",MIN(M28*L28,I28))</f>
        <v/>
      </c>
      <c r="O28" s="19" t="str">
        <f aca="false">IF(OR(I28="",N28=""),"",I28-N28)</f>
        <v/>
      </c>
      <c r="P28" s="20"/>
      <c r="Q28" s="20"/>
      <c r="R28" s="20"/>
      <c r="S28" s="21"/>
      <c r="T28" s="22"/>
      <c r="U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1"/>
      <c r="I29" s="22"/>
      <c r="J29" s="20"/>
      <c r="K29" s="20"/>
      <c r="L29" s="18" t="str">
        <f aca="true">IF(H29="","",ROUND((TODAY()-H29)/365,1))</f>
        <v/>
      </c>
      <c r="M29" s="19" t="str">
        <f aca="false">IF(OR(I29="",K29="",K29=0),"",ROUND(I29/K29,0))</f>
        <v/>
      </c>
      <c r="N29" s="19" t="str">
        <f aca="false">IF(OR(M29="",L29=""),"",MIN(M29*L29,I29))</f>
        <v/>
      </c>
      <c r="O29" s="19" t="str">
        <f aca="false">IF(OR(I29="",N29=""),"",I29-N29)</f>
        <v/>
      </c>
      <c r="P29" s="20"/>
      <c r="Q29" s="20"/>
      <c r="R29" s="20"/>
      <c r="S29" s="21"/>
      <c r="T29" s="22"/>
      <c r="U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1"/>
      <c r="I30" s="22"/>
      <c r="J30" s="20"/>
      <c r="K30" s="20"/>
      <c r="L30" s="18" t="str">
        <f aca="true">IF(H30="","",ROUND((TODAY()-H30)/365,1))</f>
        <v/>
      </c>
      <c r="M30" s="19" t="str">
        <f aca="false">IF(OR(I30="",K30="",K30=0),"",ROUND(I30/K30,0))</f>
        <v/>
      </c>
      <c r="N30" s="19" t="str">
        <f aca="false">IF(OR(M30="",L30=""),"",MIN(M30*L30,I30))</f>
        <v/>
      </c>
      <c r="O30" s="19" t="str">
        <f aca="false">IF(OR(I30="",N30=""),"",I30-N30)</f>
        <v/>
      </c>
      <c r="P30" s="20"/>
      <c r="Q30" s="20"/>
      <c r="R30" s="20"/>
      <c r="S30" s="21"/>
      <c r="T30" s="22"/>
      <c r="U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1"/>
      <c r="I31" s="22"/>
      <c r="J31" s="20"/>
      <c r="K31" s="20"/>
      <c r="L31" s="18" t="str">
        <f aca="true">IF(H31="","",ROUND((TODAY()-H31)/365,1))</f>
        <v/>
      </c>
      <c r="M31" s="19" t="str">
        <f aca="false">IF(OR(I31="",K31="",K31=0),"",ROUND(I31/K31,0))</f>
        <v/>
      </c>
      <c r="N31" s="19" t="str">
        <f aca="false">IF(OR(M31="",L31=""),"",MIN(M31*L31,I31))</f>
        <v/>
      </c>
      <c r="O31" s="19" t="str">
        <f aca="false">IF(OR(I31="",N31=""),"",I31-N31)</f>
        <v/>
      </c>
      <c r="P31" s="20"/>
      <c r="Q31" s="20"/>
      <c r="R31" s="20"/>
      <c r="S31" s="21"/>
      <c r="T31" s="22"/>
      <c r="U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1"/>
      <c r="I32" s="22"/>
      <c r="J32" s="20"/>
      <c r="K32" s="20"/>
      <c r="L32" s="18" t="str">
        <f aca="true">IF(H32="","",ROUND((TODAY()-H32)/365,1))</f>
        <v/>
      </c>
      <c r="M32" s="19" t="str">
        <f aca="false">IF(OR(I32="",K32="",K32=0),"",ROUND(I32/K32,0))</f>
        <v/>
      </c>
      <c r="N32" s="19" t="str">
        <f aca="false">IF(OR(M32="",L32=""),"",MIN(M32*L32,I32))</f>
        <v/>
      </c>
      <c r="O32" s="19" t="str">
        <f aca="false">IF(OR(I32="",N32=""),"",I32-N32)</f>
        <v/>
      </c>
      <c r="P32" s="20"/>
      <c r="Q32" s="20"/>
      <c r="R32" s="20"/>
      <c r="S32" s="21"/>
      <c r="T32" s="22"/>
      <c r="U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1"/>
      <c r="I33" s="22"/>
      <c r="J33" s="20"/>
      <c r="K33" s="20"/>
      <c r="L33" s="18" t="str">
        <f aca="true">IF(H33="","",ROUND((TODAY()-H33)/365,1))</f>
        <v/>
      </c>
      <c r="M33" s="19" t="str">
        <f aca="false">IF(OR(I33="",K33="",K33=0),"",ROUND(I33/K33,0))</f>
        <v/>
      </c>
      <c r="N33" s="19" t="str">
        <f aca="false">IF(OR(M33="",L33=""),"",MIN(M33*L33,I33))</f>
        <v/>
      </c>
      <c r="O33" s="19" t="str">
        <f aca="false">IF(OR(I33="",N33=""),"",I33-N33)</f>
        <v/>
      </c>
      <c r="P33" s="20"/>
      <c r="Q33" s="20"/>
      <c r="R33" s="20"/>
      <c r="S33" s="21"/>
      <c r="T33" s="22"/>
      <c r="U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1"/>
      <c r="I34" s="22"/>
      <c r="J34" s="20"/>
      <c r="K34" s="20"/>
      <c r="L34" s="18" t="str">
        <f aca="true">IF(H34="","",ROUND((TODAY()-H34)/365,1))</f>
        <v/>
      </c>
      <c r="M34" s="19" t="str">
        <f aca="false">IF(OR(I34="",K34="",K34=0),"",ROUND(I34/K34,0))</f>
        <v/>
      </c>
      <c r="N34" s="19" t="str">
        <f aca="false">IF(OR(M34="",L34=""),"",MIN(M34*L34,I34))</f>
        <v/>
      </c>
      <c r="O34" s="19" t="str">
        <f aca="false">IF(OR(I34="",N34=""),"",I34-N34)</f>
        <v/>
      </c>
      <c r="P34" s="20"/>
      <c r="Q34" s="20"/>
      <c r="R34" s="20"/>
      <c r="S34" s="21"/>
      <c r="T34" s="22"/>
      <c r="U34" s="20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1"/>
      <c r="I35" s="22"/>
      <c r="J35" s="20"/>
      <c r="K35" s="20"/>
      <c r="L35" s="18" t="str">
        <f aca="true">IF(H35="","",ROUND((TODAY()-H35)/365,1))</f>
        <v/>
      </c>
      <c r="M35" s="19" t="str">
        <f aca="false">IF(OR(I35="",K35="",K35=0),"",ROUND(I35/K35,0))</f>
        <v/>
      </c>
      <c r="N35" s="19" t="str">
        <f aca="false">IF(OR(M35="",L35=""),"",MIN(M35*L35,I35))</f>
        <v/>
      </c>
      <c r="O35" s="19" t="str">
        <f aca="false">IF(OR(I35="",N35=""),"",I35-N35)</f>
        <v/>
      </c>
      <c r="P35" s="20"/>
      <c r="Q35" s="20"/>
      <c r="R35" s="20"/>
      <c r="S35" s="21"/>
      <c r="T35" s="22"/>
      <c r="U35" s="20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1"/>
      <c r="I36" s="22"/>
      <c r="J36" s="20"/>
      <c r="K36" s="20"/>
      <c r="L36" s="18" t="str">
        <f aca="true">IF(H36="","",ROUND((TODAY()-H36)/365,1))</f>
        <v/>
      </c>
      <c r="M36" s="19" t="str">
        <f aca="false">IF(OR(I36="",K36="",K36=0),"",ROUND(I36/K36,0))</f>
        <v/>
      </c>
      <c r="N36" s="19" t="str">
        <f aca="false">IF(OR(M36="",L36=""),"",MIN(M36*L36,I36))</f>
        <v/>
      </c>
      <c r="O36" s="19" t="str">
        <f aca="false">IF(OR(I36="",N36=""),"",I36-N36)</f>
        <v/>
      </c>
      <c r="P36" s="20"/>
      <c r="Q36" s="20"/>
      <c r="R36" s="20"/>
      <c r="S36" s="21"/>
      <c r="T36" s="22"/>
      <c r="U36" s="20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1"/>
      <c r="I37" s="22"/>
      <c r="J37" s="20"/>
      <c r="K37" s="20"/>
      <c r="L37" s="18" t="str">
        <f aca="true">IF(H37="","",ROUND((TODAY()-H37)/365,1))</f>
        <v/>
      </c>
      <c r="M37" s="19" t="str">
        <f aca="false">IF(OR(I37="",K37="",K37=0),"",ROUND(I37/K37,0))</f>
        <v/>
      </c>
      <c r="N37" s="19" t="str">
        <f aca="false">IF(OR(M37="",L37=""),"",MIN(M37*L37,I37))</f>
        <v/>
      </c>
      <c r="O37" s="19" t="str">
        <f aca="false">IF(OR(I37="",N37=""),"",I37-N37)</f>
        <v/>
      </c>
      <c r="P37" s="20"/>
      <c r="Q37" s="20"/>
      <c r="R37" s="20"/>
      <c r="S37" s="21"/>
      <c r="T37" s="22"/>
      <c r="U37" s="20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1"/>
      <c r="I38" s="22"/>
      <c r="J38" s="20"/>
      <c r="K38" s="20"/>
      <c r="L38" s="18" t="str">
        <f aca="true">IF(H38="","",ROUND((TODAY()-H38)/365,1))</f>
        <v/>
      </c>
      <c r="M38" s="19" t="str">
        <f aca="false">IF(OR(I38="",K38="",K38=0),"",ROUND(I38/K38,0))</f>
        <v/>
      </c>
      <c r="N38" s="19" t="str">
        <f aca="false">IF(OR(M38="",L38=""),"",MIN(M38*L38,I38))</f>
        <v/>
      </c>
      <c r="O38" s="19" t="str">
        <f aca="false">IF(OR(I38="",N38=""),"",I38-N38)</f>
        <v/>
      </c>
      <c r="P38" s="20"/>
      <c r="Q38" s="20"/>
      <c r="R38" s="20"/>
      <c r="S38" s="21"/>
      <c r="T38" s="22"/>
      <c r="U38" s="20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1"/>
      <c r="I39" s="22"/>
      <c r="J39" s="20"/>
      <c r="K39" s="20"/>
      <c r="L39" s="18" t="str">
        <f aca="true">IF(H39="","",ROUND((TODAY()-H39)/365,1))</f>
        <v/>
      </c>
      <c r="M39" s="19" t="str">
        <f aca="false">IF(OR(I39="",K39="",K39=0),"",ROUND(I39/K39,0))</f>
        <v/>
      </c>
      <c r="N39" s="19" t="str">
        <f aca="false">IF(OR(M39="",L39=""),"",MIN(M39*L39,I39))</f>
        <v/>
      </c>
      <c r="O39" s="19" t="str">
        <f aca="false">IF(OR(I39="",N39=""),"",I39-N39)</f>
        <v/>
      </c>
      <c r="P39" s="20"/>
      <c r="Q39" s="20"/>
      <c r="R39" s="20"/>
      <c r="S39" s="21"/>
      <c r="T39" s="22"/>
      <c r="U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1"/>
      <c r="I40" s="22"/>
      <c r="J40" s="20"/>
      <c r="K40" s="20"/>
      <c r="L40" s="18" t="str">
        <f aca="true">IF(H40="","",ROUND((TODAY()-H40)/365,1))</f>
        <v/>
      </c>
      <c r="M40" s="19" t="str">
        <f aca="false">IF(OR(I40="",K40="",K40=0),"",ROUND(I40/K40,0))</f>
        <v/>
      </c>
      <c r="N40" s="19" t="str">
        <f aca="false">IF(OR(M40="",L40=""),"",MIN(M40*L40,I40))</f>
        <v/>
      </c>
      <c r="O40" s="19" t="str">
        <f aca="false">IF(OR(I40="",N40=""),"",I40-N40)</f>
        <v/>
      </c>
      <c r="P40" s="20"/>
      <c r="Q40" s="20"/>
      <c r="R40" s="20"/>
      <c r="S40" s="21"/>
      <c r="T40" s="22"/>
      <c r="U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1"/>
      <c r="I41" s="22"/>
      <c r="J41" s="20"/>
      <c r="K41" s="20"/>
      <c r="L41" s="18" t="str">
        <f aca="true">IF(H41="","",ROUND((TODAY()-H41)/365,1))</f>
        <v/>
      </c>
      <c r="M41" s="19" t="str">
        <f aca="false">IF(OR(I41="",K41="",K41=0),"",ROUND(I41/K41,0))</f>
        <v/>
      </c>
      <c r="N41" s="19" t="str">
        <f aca="false">IF(OR(M41="",L41=""),"",MIN(M41*L41,I41))</f>
        <v/>
      </c>
      <c r="O41" s="19" t="str">
        <f aca="false">IF(OR(I41="",N41=""),"",I41-N41)</f>
        <v/>
      </c>
      <c r="P41" s="20"/>
      <c r="Q41" s="20"/>
      <c r="R41" s="20"/>
      <c r="S41" s="21"/>
      <c r="T41" s="22"/>
      <c r="U41" s="20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1"/>
      <c r="I42" s="22"/>
      <c r="J42" s="20"/>
      <c r="K42" s="20"/>
      <c r="L42" s="18" t="str">
        <f aca="true">IF(H42="","",ROUND((TODAY()-H42)/365,1))</f>
        <v/>
      </c>
      <c r="M42" s="19" t="str">
        <f aca="false">IF(OR(I42="",K42="",K42=0),"",ROUND(I42/K42,0))</f>
        <v/>
      </c>
      <c r="N42" s="19" t="str">
        <f aca="false">IF(OR(M42="",L42=""),"",MIN(M42*L42,I42))</f>
        <v/>
      </c>
      <c r="O42" s="19" t="str">
        <f aca="false">IF(OR(I42="",N42=""),"",I42-N42)</f>
        <v/>
      </c>
      <c r="P42" s="20"/>
      <c r="Q42" s="20"/>
      <c r="R42" s="20"/>
      <c r="S42" s="21"/>
      <c r="T42" s="22"/>
      <c r="U42" s="20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1"/>
      <c r="I43" s="22"/>
      <c r="J43" s="20"/>
      <c r="K43" s="20"/>
      <c r="L43" s="18" t="str">
        <f aca="true">IF(H43="","",ROUND((TODAY()-H43)/365,1))</f>
        <v/>
      </c>
      <c r="M43" s="19" t="str">
        <f aca="false">IF(OR(I43="",K43="",K43=0),"",ROUND(I43/K43,0))</f>
        <v/>
      </c>
      <c r="N43" s="19" t="str">
        <f aca="false">IF(OR(M43="",L43=""),"",MIN(M43*L43,I43))</f>
        <v/>
      </c>
      <c r="O43" s="19" t="str">
        <f aca="false">IF(OR(I43="",N43=""),"",I43-N43)</f>
        <v/>
      </c>
      <c r="P43" s="20"/>
      <c r="Q43" s="20"/>
      <c r="R43" s="20"/>
      <c r="S43" s="21"/>
      <c r="T43" s="22"/>
      <c r="U43" s="20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1"/>
      <c r="I44" s="22"/>
      <c r="J44" s="20"/>
      <c r="K44" s="20"/>
      <c r="L44" s="18" t="str">
        <f aca="true">IF(H44="","",ROUND((TODAY()-H44)/365,1))</f>
        <v/>
      </c>
      <c r="M44" s="19" t="str">
        <f aca="false">IF(OR(I44="",K44="",K44=0),"",ROUND(I44/K44,0))</f>
        <v/>
      </c>
      <c r="N44" s="19" t="str">
        <f aca="false">IF(OR(M44="",L44=""),"",MIN(M44*L44,I44))</f>
        <v/>
      </c>
      <c r="O44" s="19" t="str">
        <f aca="false">IF(OR(I44="",N44=""),"",I44-N44)</f>
        <v/>
      </c>
      <c r="P44" s="20"/>
      <c r="Q44" s="20"/>
      <c r="R44" s="20"/>
      <c r="S44" s="21"/>
      <c r="T44" s="22"/>
      <c r="U44" s="20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1"/>
      <c r="I45" s="22"/>
      <c r="J45" s="20"/>
      <c r="K45" s="20"/>
      <c r="L45" s="18" t="str">
        <f aca="true">IF(H45="","",ROUND((TODAY()-H45)/365,1))</f>
        <v/>
      </c>
      <c r="M45" s="19" t="str">
        <f aca="false">IF(OR(I45="",K45="",K45=0),"",ROUND(I45/K45,0))</f>
        <v/>
      </c>
      <c r="N45" s="19" t="str">
        <f aca="false">IF(OR(M45="",L45=""),"",MIN(M45*L45,I45))</f>
        <v/>
      </c>
      <c r="O45" s="19" t="str">
        <f aca="false">IF(OR(I45="",N45=""),"",I45-N45)</f>
        <v/>
      </c>
      <c r="P45" s="20"/>
      <c r="Q45" s="20"/>
      <c r="R45" s="20"/>
      <c r="S45" s="21"/>
      <c r="T45" s="22"/>
      <c r="U45" s="20"/>
    </row>
    <row r="46" customFormat="false" ht="15" hidden="false" customHeight="false" outlineLevel="0" collapsed="false">
      <c r="A46" s="23"/>
      <c r="B46" s="23"/>
      <c r="C46" s="24" t="s">
        <v>62</v>
      </c>
      <c r="D46" s="23"/>
      <c r="E46" s="23"/>
      <c r="F46" s="23"/>
      <c r="G46" s="23"/>
      <c r="H46" s="23"/>
      <c r="I46" s="24" t="n">
        <f aca="false">SUM(I6:I45)</f>
        <v>3500000</v>
      </c>
      <c r="J46" s="23"/>
      <c r="K46" s="23"/>
      <c r="L46" s="23"/>
      <c r="M46" s="23"/>
      <c r="N46" s="24" t="n">
        <f aca="false">SUM(N6:N45)</f>
        <v>1750000</v>
      </c>
      <c r="O46" s="24" t="n">
        <f aca="false">SUM(O6:O45)</f>
        <v>1750000</v>
      </c>
      <c r="P46" s="23"/>
      <c r="Q46" s="23"/>
      <c r="R46" s="23"/>
      <c r="S46" s="23"/>
      <c r="T46" s="23"/>
      <c r="U46" s="23"/>
    </row>
  </sheetData>
  <mergeCells count="2">
    <mergeCell ref="A1:U1"/>
    <mergeCell ref="A2:U2"/>
  </mergeCells>
  <dataValidations count="5">
    <dataValidation allowBlank="true" errorStyle="stop" operator="between" showDropDown="false" showErrorMessage="false" showInputMessage="false" sqref="B6:B45" type="list">
      <formula1>"IT Equipment,Furniture &amp; Fixtures,Office Equipment,Machinery &amp; Equipment,Land &amp; Buildings,Vehicles (see Fleet Register),Other"</formula1>
      <formula2>0</formula2>
    </dataValidation>
    <dataValidation allowBlank="true" errorStyle="stop" operator="between" showDropDown="false" showErrorMessage="false" showInputMessage="false" sqref="J6:J45" type="list">
      <formula1>"Company Funds,Grant,Donor,Loan,Other"</formula1>
      <formula2>0</formula2>
    </dataValidation>
    <dataValidation allowBlank="true" errorStyle="stop" operator="between" showDropDown="false" showErrorMessage="false" showInputMessage="false" sqref="P6:P45" type="list">
      <formula1>"Good,Fair,Poor,Under Repair"</formula1>
      <formula2>0</formula2>
    </dataValidation>
    <dataValidation allowBlank="true" errorStyle="stop" operator="between" showDropDown="false" showErrorMessage="false" showInputMessage="false" sqref="Q6:Q45" type="list">
      <formula1>"In Use,In Storage,Under Repair,Disposed"</formula1>
      <formula2>0</formula2>
    </dataValidation>
    <dataValidation allowBlank="true" errorStyle="stop" operator="between" showDropDown="false" showErrorMessage="false" showInputMessage="false" sqref="R6:R4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26"/>
  </cols>
  <sheetData>
    <row r="1" customFormat="false" ht="16.15" hidden="false" customHeight="false" outlineLevel="0" collapsed="false">
      <c r="A1" s="12" t="s">
        <v>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customFormat="false" ht="15" hidden="false" customHeight="false" outlineLevel="0" collapsed="false">
      <c r="A2" s="13" t="s">
        <v>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5" customFormat="false" ht="22.35" hidden="false" customHeight="false" outlineLevel="0" collapsed="false">
      <c r="A5" s="14" t="s">
        <v>65</v>
      </c>
      <c r="B5" s="14" t="s">
        <v>66</v>
      </c>
      <c r="C5" s="14" t="s">
        <v>67</v>
      </c>
      <c r="D5" s="14" t="s">
        <v>68</v>
      </c>
      <c r="E5" s="14" t="s">
        <v>30</v>
      </c>
      <c r="F5" s="14" t="s">
        <v>32</v>
      </c>
      <c r="G5" s="14" t="s">
        <v>69</v>
      </c>
      <c r="H5" s="14" t="s">
        <v>36</v>
      </c>
      <c r="I5" s="14" t="s">
        <v>37</v>
      </c>
      <c r="J5" s="14" t="s">
        <v>70</v>
      </c>
      <c r="K5" s="14" t="s">
        <v>71</v>
      </c>
      <c r="L5" s="14" t="s">
        <v>72</v>
      </c>
      <c r="M5" s="14" t="s">
        <v>73</v>
      </c>
      <c r="N5" s="14" t="s">
        <v>74</v>
      </c>
      <c r="O5" s="14" t="s">
        <v>75</v>
      </c>
      <c r="P5" s="14" t="s">
        <v>76</v>
      </c>
      <c r="Q5" s="14" t="s">
        <v>77</v>
      </c>
      <c r="R5" s="14" t="s">
        <v>45</v>
      </c>
      <c r="S5" s="14" t="s">
        <v>49</v>
      </c>
    </row>
    <row r="6" customFormat="false" ht="15" hidden="false" customHeight="false" outlineLevel="0" collapsed="false">
      <c r="A6" s="15" t="s">
        <v>50</v>
      </c>
      <c r="B6" s="15" t="s">
        <v>78</v>
      </c>
      <c r="C6" s="15" t="s">
        <v>79</v>
      </c>
      <c r="D6" s="15" t="n">
        <v>2022</v>
      </c>
      <c r="E6" s="15" t="s">
        <v>80</v>
      </c>
      <c r="F6" s="15" t="s">
        <v>53</v>
      </c>
      <c r="G6" s="15"/>
      <c r="H6" s="16"/>
      <c r="I6" s="17"/>
      <c r="J6" s="15" t="s">
        <v>81</v>
      </c>
      <c r="K6" s="15"/>
      <c r="L6" s="16" t="n">
        <v>46235</v>
      </c>
      <c r="M6" s="25" t="n">
        <f aca="false">IF(L6="","",EDATE(L6,3))</f>
        <v>46327</v>
      </c>
      <c r="N6" s="15"/>
      <c r="O6" s="16" t="n">
        <v>46357</v>
      </c>
      <c r="P6" s="26" t="str">
        <f aca="true">IF(O6="","",IF(O6&lt;TODAY(),"EXPIRED",IF(O6&lt;=TODAY()+30,"RENEW SOON","Active")))</f>
        <v>Active</v>
      </c>
      <c r="Q6" s="16" t="n">
        <v>46388</v>
      </c>
      <c r="R6" s="15" t="s">
        <v>59</v>
      </c>
      <c r="S6" s="15"/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1"/>
      <c r="I7" s="22"/>
      <c r="J7" s="20"/>
      <c r="K7" s="20"/>
      <c r="L7" s="21"/>
      <c r="M7" s="25" t="str">
        <f aca="false">IF(L7="","",EDATE(L7,3))</f>
        <v/>
      </c>
      <c r="N7" s="20"/>
      <c r="O7" s="21"/>
      <c r="P7" s="26" t="str">
        <f aca="true">IF(O7="","",IF(O7&lt;TODAY(),"EXPIRED",IF(O7&lt;=TODAY()+30,"RENEW SOON","Active")))</f>
        <v/>
      </c>
      <c r="Q7" s="21"/>
      <c r="R7" s="20"/>
      <c r="S7" s="20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1"/>
      <c r="I8" s="22"/>
      <c r="J8" s="20"/>
      <c r="K8" s="20"/>
      <c r="L8" s="21"/>
      <c r="M8" s="25" t="str">
        <f aca="false">IF(L8="","",EDATE(L8,3))</f>
        <v/>
      </c>
      <c r="N8" s="20"/>
      <c r="O8" s="21"/>
      <c r="P8" s="26" t="str">
        <f aca="true">IF(O8="","",IF(O8&lt;TODAY(),"EXPIRED",IF(O8&lt;=TODAY()+30,"RENEW SOON","Active")))</f>
        <v/>
      </c>
      <c r="Q8" s="21"/>
      <c r="R8" s="20"/>
      <c r="S8" s="20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1"/>
      <c r="I9" s="22"/>
      <c r="J9" s="20"/>
      <c r="K9" s="20"/>
      <c r="L9" s="21"/>
      <c r="M9" s="25" t="str">
        <f aca="false">IF(L9="","",EDATE(L9,3))</f>
        <v/>
      </c>
      <c r="N9" s="20"/>
      <c r="O9" s="21"/>
      <c r="P9" s="26" t="str">
        <f aca="true">IF(O9="","",IF(O9&lt;TODAY(),"EXPIRED",IF(O9&lt;=TODAY()+30,"RENEW SOON","Active")))</f>
        <v/>
      </c>
      <c r="Q9" s="21"/>
      <c r="R9" s="20"/>
      <c r="S9" s="20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1"/>
      <c r="I10" s="22"/>
      <c r="J10" s="20"/>
      <c r="K10" s="20"/>
      <c r="L10" s="21"/>
      <c r="M10" s="25" t="str">
        <f aca="false">IF(L10="","",EDATE(L10,3))</f>
        <v/>
      </c>
      <c r="N10" s="20"/>
      <c r="O10" s="21"/>
      <c r="P10" s="26" t="str">
        <f aca="true">IF(O10="","",IF(O10&lt;TODAY(),"EXPIRED",IF(O10&lt;=TODAY()+30,"RENEW SOON","Active")))</f>
        <v/>
      </c>
      <c r="Q10" s="21"/>
      <c r="R10" s="20"/>
      <c r="S10" s="20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1"/>
      <c r="I11" s="22"/>
      <c r="J11" s="20"/>
      <c r="K11" s="20"/>
      <c r="L11" s="21"/>
      <c r="M11" s="25" t="str">
        <f aca="false">IF(L11="","",EDATE(L11,3))</f>
        <v/>
      </c>
      <c r="N11" s="20"/>
      <c r="O11" s="21"/>
      <c r="P11" s="26" t="str">
        <f aca="true">IF(O11="","",IF(O11&lt;TODAY(),"EXPIRED",IF(O11&lt;=TODAY()+30,"RENEW SOON","Active")))</f>
        <v/>
      </c>
      <c r="Q11" s="21"/>
      <c r="R11" s="20"/>
      <c r="S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1"/>
      <c r="I12" s="22"/>
      <c r="J12" s="20"/>
      <c r="K12" s="20"/>
      <c r="L12" s="21"/>
      <c r="M12" s="25" t="str">
        <f aca="false">IF(L12="","",EDATE(L12,3))</f>
        <v/>
      </c>
      <c r="N12" s="20"/>
      <c r="O12" s="21"/>
      <c r="P12" s="26" t="str">
        <f aca="true">IF(O12="","",IF(O12&lt;TODAY(),"EXPIRED",IF(O12&lt;=TODAY()+30,"RENEW SOON","Active")))</f>
        <v/>
      </c>
      <c r="Q12" s="21"/>
      <c r="R12" s="20"/>
      <c r="S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1"/>
      <c r="I13" s="22"/>
      <c r="J13" s="20"/>
      <c r="K13" s="20"/>
      <c r="L13" s="21"/>
      <c r="M13" s="25" t="str">
        <f aca="false">IF(L13="","",EDATE(L13,3))</f>
        <v/>
      </c>
      <c r="N13" s="20"/>
      <c r="O13" s="21"/>
      <c r="P13" s="26" t="str">
        <f aca="true">IF(O13="","",IF(O13&lt;TODAY(),"EXPIRED",IF(O13&lt;=TODAY()+30,"RENEW SOON","Active")))</f>
        <v/>
      </c>
      <c r="Q13" s="21"/>
      <c r="R13" s="20"/>
      <c r="S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1"/>
      <c r="I14" s="22"/>
      <c r="J14" s="20"/>
      <c r="K14" s="20"/>
      <c r="L14" s="21"/>
      <c r="M14" s="25" t="str">
        <f aca="false">IF(L14="","",EDATE(L14,3))</f>
        <v/>
      </c>
      <c r="N14" s="20"/>
      <c r="O14" s="21"/>
      <c r="P14" s="26" t="str">
        <f aca="true">IF(O14="","",IF(O14&lt;TODAY(),"EXPIRED",IF(O14&lt;=TODAY()+30,"RENEW SOON","Active")))</f>
        <v/>
      </c>
      <c r="Q14" s="21"/>
      <c r="R14" s="20"/>
      <c r="S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1"/>
      <c r="I15" s="22"/>
      <c r="J15" s="20"/>
      <c r="K15" s="20"/>
      <c r="L15" s="21"/>
      <c r="M15" s="25" t="str">
        <f aca="false">IF(L15="","",EDATE(L15,3))</f>
        <v/>
      </c>
      <c r="N15" s="20"/>
      <c r="O15" s="21"/>
      <c r="P15" s="26" t="str">
        <f aca="true">IF(O15="","",IF(O15&lt;TODAY(),"EXPIRED",IF(O15&lt;=TODAY()+30,"RENEW SOON","Active")))</f>
        <v/>
      </c>
      <c r="Q15" s="21"/>
      <c r="R15" s="20"/>
      <c r="S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1"/>
      <c r="I16" s="22"/>
      <c r="J16" s="20"/>
      <c r="K16" s="20"/>
      <c r="L16" s="21"/>
      <c r="M16" s="25" t="str">
        <f aca="false">IF(L16="","",EDATE(L16,3))</f>
        <v/>
      </c>
      <c r="N16" s="20"/>
      <c r="O16" s="21"/>
      <c r="P16" s="26" t="str">
        <f aca="true">IF(O16="","",IF(O16&lt;TODAY(),"EXPIRED",IF(O16&lt;=TODAY()+30,"RENEW SOON","Active")))</f>
        <v/>
      </c>
      <c r="Q16" s="21"/>
      <c r="R16" s="20"/>
      <c r="S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1"/>
      <c r="I17" s="22"/>
      <c r="J17" s="20"/>
      <c r="K17" s="20"/>
      <c r="L17" s="21"/>
      <c r="M17" s="25" t="str">
        <f aca="false">IF(L17="","",EDATE(L17,3))</f>
        <v/>
      </c>
      <c r="N17" s="20"/>
      <c r="O17" s="21"/>
      <c r="P17" s="26" t="str">
        <f aca="true">IF(O17="","",IF(O17&lt;TODAY(),"EXPIRED",IF(O17&lt;=TODAY()+30,"RENEW SOON","Active")))</f>
        <v/>
      </c>
      <c r="Q17" s="21"/>
      <c r="R17" s="20"/>
      <c r="S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1"/>
      <c r="I18" s="22"/>
      <c r="J18" s="20"/>
      <c r="K18" s="20"/>
      <c r="L18" s="21"/>
      <c r="M18" s="25" t="str">
        <f aca="false">IF(L18="","",EDATE(L18,3))</f>
        <v/>
      </c>
      <c r="N18" s="20"/>
      <c r="O18" s="21"/>
      <c r="P18" s="26" t="str">
        <f aca="true">IF(O18="","",IF(O18&lt;TODAY(),"EXPIRED",IF(O18&lt;=TODAY()+30,"RENEW SOON","Active")))</f>
        <v/>
      </c>
      <c r="Q18" s="21"/>
      <c r="R18" s="20"/>
      <c r="S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1"/>
      <c r="I19" s="22"/>
      <c r="J19" s="20"/>
      <c r="K19" s="20"/>
      <c r="L19" s="21"/>
      <c r="M19" s="25" t="str">
        <f aca="false">IF(L19="","",EDATE(L19,3))</f>
        <v/>
      </c>
      <c r="N19" s="20"/>
      <c r="O19" s="21"/>
      <c r="P19" s="26" t="str">
        <f aca="true">IF(O19="","",IF(O19&lt;TODAY(),"EXPIRED",IF(O19&lt;=TODAY()+30,"RENEW SOON","Active")))</f>
        <v/>
      </c>
      <c r="Q19" s="21"/>
      <c r="R19" s="20"/>
      <c r="S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1"/>
      <c r="I20" s="22"/>
      <c r="J20" s="20"/>
      <c r="K20" s="20"/>
      <c r="L20" s="21"/>
      <c r="M20" s="25" t="str">
        <f aca="false">IF(L20="","",EDATE(L20,3))</f>
        <v/>
      </c>
      <c r="N20" s="20"/>
      <c r="O20" s="21"/>
      <c r="P20" s="26" t="str">
        <f aca="true">IF(O20="","",IF(O20&lt;TODAY(),"EXPIRED",IF(O20&lt;=TODAY()+30,"RENEW SOON","Active")))</f>
        <v/>
      </c>
      <c r="Q20" s="21"/>
      <c r="R20" s="20"/>
      <c r="S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1"/>
      <c r="I21" s="22"/>
      <c r="J21" s="20"/>
      <c r="K21" s="20"/>
      <c r="L21" s="21"/>
      <c r="M21" s="25" t="str">
        <f aca="false">IF(L21="","",EDATE(L21,3))</f>
        <v/>
      </c>
      <c r="N21" s="20"/>
      <c r="O21" s="21"/>
      <c r="P21" s="26" t="str">
        <f aca="true">IF(O21="","",IF(O21&lt;TODAY(),"EXPIRED",IF(O21&lt;=TODAY()+30,"RENEW SOON","Active")))</f>
        <v/>
      </c>
      <c r="Q21" s="21"/>
      <c r="R21" s="20"/>
      <c r="S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1"/>
      <c r="I22" s="22"/>
      <c r="J22" s="20"/>
      <c r="K22" s="20"/>
      <c r="L22" s="21"/>
      <c r="M22" s="25" t="str">
        <f aca="false">IF(L22="","",EDATE(L22,3))</f>
        <v/>
      </c>
      <c r="N22" s="20"/>
      <c r="O22" s="21"/>
      <c r="P22" s="26" t="str">
        <f aca="true">IF(O22="","",IF(O22&lt;TODAY(),"EXPIRED",IF(O22&lt;=TODAY()+30,"RENEW SOON","Active")))</f>
        <v/>
      </c>
      <c r="Q22" s="21"/>
      <c r="R22" s="20"/>
      <c r="S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1"/>
      <c r="I23" s="22"/>
      <c r="J23" s="20"/>
      <c r="K23" s="20"/>
      <c r="L23" s="21"/>
      <c r="M23" s="25" t="str">
        <f aca="false">IF(L23="","",EDATE(L23,3))</f>
        <v/>
      </c>
      <c r="N23" s="20"/>
      <c r="O23" s="21"/>
      <c r="P23" s="26" t="str">
        <f aca="true">IF(O23="","",IF(O23&lt;TODAY(),"EXPIRED",IF(O23&lt;=TODAY()+30,"RENEW SOON","Active")))</f>
        <v/>
      </c>
      <c r="Q23" s="21"/>
      <c r="R23" s="20"/>
      <c r="S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1"/>
      <c r="I24" s="22"/>
      <c r="J24" s="20"/>
      <c r="K24" s="20"/>
      <c r="L24" s="21"/>
      <c r="M24" s="25" t="str">
        <f aca="false">IF(L24="","",EDATE(L24,3))</f>
        <v/>
      </c>
      <c r="N24" s="20"/>
      <c r="O24" s="21"/>
      <c r="P24" s="26" t="str">
        <f aca="true">IF(O24="","",IF(O24&lt;TODAY(),"EXPIRED",IF(O24&lt;=TODAY()+30,"RENEW SOON","Active")))</f>
        <v/>
      </c>
      <c r="Q24" s="21"/>
      <c r="R24" s="20"/>
      <c r="S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1"/>
      <c r="I25" s="22"/>
      <c r="J25" s="20"/>
      <c r="K25" s="20"/>
      <c r="L25" s="21"/>
      <c r="M25" s="25" t="str">
        <f aca="false">IF(L25="","",EDATE(L25,3))</f>
        <v/>
      </c>
      <c r="N25" s="20"/>
      <c r="O25" s="21"/>
      <c r="P25" s="26" t="str">
        <f aca="true">IF(O25="","",IF(O25&lt;TODAY(),"EXPIRED",IF(O25&lt;=TODAY()+30,"RENEW SOON","Active")))</f>
        <v/>
      </c>
      <c r="Q25" s="21"/>
      <c r="R25" s="20"/>
      <c r="S25" s="20"/>
    </row>
  </sheetData>
  <mergeCells count="2">
    <mergeCell ref="A1:S1"/>
    <mergeCell ref="A2:S2"/>
  </mergeCells>
  <conditionalFormatting sqref="P6:P25">
    <cfRule type="cellIs" priority="2" operator="equal" aboveAverage="0" equalAverage="0" bottom="0" percent="0" rank="0" text="" dxfId="0">
      <formula>"EXPIRED"</formula>
    </cfRule>
    <cfRule type="cellIs" priority="3" operator="equal" aboveAverage="0" equalAverage="0" bottom="0" percent="0" rank="0" text="" dxfId="0">
      <formula>"OVERDUE"</formula>
    </cfRule>
    <cfRule type="cellIs" priority="4" operator="equal" aboveAverage="0" equalAverage="0" bottom="0" percent="0" rank="0" text="" dxfId="1">
      <formula>"RENEW SOON"</formula>
    </cfRule>
    <cfRule type="cellIs" priority="5" operator="equal" aboveAverage="0" equalAverage="0" bottom="0" percent="0" rank="0" text="" dxfId="1">
      <formula>"DUE SOON"</formula>
    </cfRule>
    <cfRule type="cellIs" priority="6" operator="equal" aboveAverage="0" equalAverage="0" bottom="0" percent="0" rank="0" text="" dxfId="2">
      <formula>"Active"</formula>
    </cfRule>
    <cfRule type="cellIs" priority="7" operator="equal" aboveAverage="0" equalAverage="0" bottom="0" percent="0" rank="0" text="" dxfId="2">
      <formula>"OK"</formula>
    </cfRule>
  </conditionalFormatting>
  <dataValidations count="3">
    <dataValidation allowBlank="true" errorStyle="stop" operator="between" showDropDown="false" showErrorMessage="false" showInputMessage="false" sqref="E6:E25" type="list">
      <formula1>"Car,Pickup,Truck,Motorcycle,Other"</formula1>
      <formula2>0</formula2>
    </dataValidation>
    <dataValidation allowBlank="true" errorStyle="stop" operator="between" showDropDown="false" showErrorMessage="false" showInputMessage="false" sqref="J6:J25" type="list">
      <formula1>"Petrol,Diesel,Electric,Hybrid"</formula1>
      <formula2>0</formula2>
    </dataValidation>
    <dataValidation allowBlank="true" errorStyle="stop" operator="between" showDropDown="false" showErrorMessage="false" showInputMessage="false" sqref="R6:R25" type="list">
      <formula1>"In Use,Under Maintenance,Decommissioned"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26"/>
  </cols>
  <sheetData>
    <row r="1" customFormat="false" ht="16.15" hidden="false" customHeight="false" outlineLevel="0" collapsed="false">
      <c r="A1" s="12" t="s">
        <v>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5" hidden="false" customHeight="false" outlineLevel="0" collapsed="false">
      <c r="A2" s="13" t="s">
        <v>83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customFormat="false" ht="22.35" hidden="false" customHeight="false" outlineLevel="0" collapsed="false">
      <c r="A5" s="14" t="s">
        <v>84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  <c r="G5" s="14" t="s">
        <v>90</v>
      </c>
      <c r="H5" s="14" t="s">
        <v>91</v>
      </c>
      <c r="I5" s="14" t="s">
        <v>92</v>
      </c>
      <c r="J5" s="14" t="s">
        <v>93</v>
      </c>
      <c r="K5" s="14" t="s">
        <v>94</v>
      </c>
      <c r="L5" s="14" t="s">
        <v>49</v>
      </c>
    </row>
    <row r="6" customFormat="false" ht="15" hidden="false" customHeight="false" outlineLevel="0" collapsed="false">
      <c r="A6" s="15" t="s">
        <v>50</v>
      </c>
      <c r="B6" s="15" t="s">
        <v>95</v>
      </c>
      <c r="C6" s="15" t="s">
        <v>96</v>
      </c>
      <c r="D6" s="15" t="s">
        <v>97</v>
      </c>
      <c r="E6" s="16" t="n">
        <v>46023</v>
      </c>
      <c r="F6" s="16" t="n">
        <v>46387</v>
      </c>
      <c r="G6" s="17"/>
      <c r="H6" s="17"/>
      <c r="I6" s="18" t="n">
        <f aca="true">IF(F6="","",F6-TODAY())</f>
        <v>94</v>
      </c>
      <c r="J6" s="26" t="str">
        <f aca="true">IF(F6="","",IF(F6&lt;TODAY(),"EXPIRED",IF(F6&lt;=TODAY()+30,"RENEW SOON","Active")))</f>
        <v>Active</v>
      </c>
      <c r="K6" s="15"/>
      <c r="L6" s="15"/>
    </row>
    <row r="7" customFormat="false" ht="15" hidden="false" customHeight="false" outlineLevel="0" collapsed="false">
      <c r="A7" s="20"/>
      <c r="B7" s="20"/>
      <c r="C7" s="20"/>
      <c r="D7" s="20"/>
      <c r="E7" s="21"/>
      <c r="F7" s="21"/>
      <c r="G7" s="22"/>
      <c r="H7" s="22"/>
      <c r="I7" s="18" t="str">
        <f aca="true">IF(F7="","",F7-TODAY())</f>
        <v/>
      </c>
      <c r="J7" s="26" t="str">
        <f aca="true">IF(F7="","",IF(F7&lt;TODAY(),"EXPIRED",IF(F7&lt;=TODAY()+30,"RENEW SOON","Active")))</f>
        <v/>
      </c>
      <c r="K7" s="20"/>
      <c r="L7" s="20"/>
    </row>
    <row r="8" customFormat="false" ht="15" hidden="false" customHeight="false" outlineLevel="0" collapsed="false">
      <c r="A8" s="20"/>
      <c r="B8" s="20"/>
      <c r="C8" s="20"/>
      <c r="D8" s="20"/>
      <c r="E8" s="21"/>
      <c r="F8" s="21"/>
      <c r="G8" s="22"/>
      <c r="H8" s="22"/>
      <c r="I8" s="18" t="str">
        <f aca="true">IF(F8="","",F8-TODAY())</f>
        <v/>
      </c>
      <c r="J8" s="26" t="str">
        <f aca="true">IF(F8="","",IF(F8&lt;TODAY(),"EXPIRED",IF(F8&lt;=TODAY()+30,"RENEW SOON","Active")))</f>
        <v/>
      </c>
      <c r="K8" s="20"/>
      <c r="L8" s="20"/>
    </row>
    <row r="9" customFormat="false" ht="15" hidden="false" customHeight="false" outlineLevel="0" collapsed="false">
      <c r="A9" s="20"/>
      <c r="B9" s="20"/>
      <c r="C9" s="20"/>
      <c r="D9" s="20"/>
      <c r="E9" s="21"/>
      <c r="F9" s="21"/>
      <c r="G9" s="22"/>
      <c r="H9" s="22"/>
      <c r="I9" s="18" t="str">
        <f aca="true">IF(F9="","",F9-TODAY())</f>
        <v/>
      </c>
      <c r="J9" s="26" t="str">
        <f aca="true">IF(F9="","",IF(F9&lt;TODAY(),"EXPIRED",IF(F9&lt;=TODAY()+30,"RENEW SOON","Active")))</f>
        <v/>
      </c>
      <c r="K9" s="20"/>
      <c r="L9" s="20"/>
    </row>
    <row r="10" customFormat="false" ht="15" hidden="false" customHeight="false" outlineLevel="0" collapsed="false">
      <c r="A10" s="20"/>
      <c r="B10" s="20"/>
      <c r="C10" s="20"/>
      <c r="D10" s="20"/>
      <c r="E10" s="21"/>
      <c r="F10" s="21"/>
      <c r="G10" s="22"/>
      <c r="H10" s="22"/>
      <c r="I10" s="18" t="str">
        <f aca="true">IF(F10="","",F10-TODAY())</f>
        <v/>
      </c>
      <c r="J10" s="26" t="str">
        <f aca="true">IF(F10="","",IF(F10&lt;TODAY(),"EXPIRED",IF(F10&lt;=TODAY()+30,"RENEW SOON","Active")))</f>
        <v/>
      </c>
      <c r="K10" s="20"/>
      <c r="L10" s="20"/>
    </row>
    <row r="11" customFormat="false" ht="15" hidden="false" customHeight="false" outlineLevel="0" collapsed="false">
      <c r="A11" s="20"/>
      <c r="B11" s="20"/>
      <c r="C11" s="20"/>
      <c r="D11" s="20"/>
      <c r="E11" s="21"/>
      <c r="F11" s="21"/>
      <c r="G11" s="22"/>
      <c r="H11" s="22"/>
      <c r="I11" s="18" t="str">
        <f aca="true">IF(F11="","",F11-TODAY())</f>
        <v/>
      </c>
      <c r="J11" s="26" t="str">
        <f aca="true">IF(F11="","",IF(F11&lt;TODAY(),"EXPIRED",IF(F11&lt;=TODAY()+30,"RENEW SOON","Active")))</f>
        <v/>
      </c>
      <c r="K11" s="20"/>
      <c r="L11" s="20"/>
    </row>
    <row r="12" customFormat="false" ht="15" hidden="false" customHeight="false" outlineLevel="0" collapsed="false">
      <c r="A12" s="20"/>
      <c r="B12" s="20"/>
      <c r="C12" s="20"/>
      <c r="D12" s="20"/>
      <c r="E12" s="21"/>
      <c r="F12" s="21"/>
      <c r="G12" s="22"/>
      <c r="H12" s="22"/>
      <c r="I12" s="18" t="str">
        <f aca="true">IF(F12="","",F12-TODAY())</f>
        <v/>
      </c>
      <c r="J12" s="26" t="str">
        <f aca="true">IF(F12="","",IF(F12&lt;TODAY(),"EXPIRED",IF(F12&lt;=TODAY()+30,"RENEW SOON","Active")))</f>
        <v/>
      </c>
      <c r="K12" s="20"/>
      <c r="L12" s="20"/>
    </row>
    <row r="13" customFormat="false" ht="15" hidden="false" customHeight="false" outlineLevel="0" collapsed="false">
      <c r="A13" s="20"/>
      <c r="B13" s="20"/>
      <c r="C13" s="20"/>
      <c r="D13" s="20"/>
      <c r="E13" s="21"/>
      <c r="F13" s="21"/>
      <c r="G13" s="22"/>
      <c r="H13" s="22"/>
      <c r="I13" s="18" t="str">
        <f aca="true">IF(F13="","",F13-TODAY())</f>
        <v/>
      </c>
      <c r="J13" s="26" t="str">
        <f aca="true">IF(F13="","",IF(F13&lt;TODAY(),"EXPIRED",IF(F13&lt;=TODAY()+30,"RENEW SOON","Active")))</f>
        <v/>
      </c>
      <c r="K13" s="20"/>
      <c r="L13" s="20"/>
    </row>
    <row r="14" customFormat="false" ht="15" hidden="false" customHeight="false" outlineLevel="0" collapsed="false">
      <c r="A14" s="20"/>
      <c r="B14" s="20"/>
      <c r="C14" s="20"/>
      <c r="D14" s="20"/>
      <c r="E14" s="21"/>
      <c r="F14" s="21"/>
      <c r="G14" s="22"/>
      <c r="H14" s="22"/>
      <c r="I14" s="18" t="str">
        <f aca="true">IF(F14="","",F14-TODAY())</f>
        <v/>
      </c>
      <c r="J14" s="26" t="str">
        <f aca="true">IF(F14="","",IF(F14&lt;TODAY(),"EXPIRED",IF(F14&lt;=TODAY()+30,"RENEW SOON","Active")))</f>
        <v/>
      </c>
      <c r="K14" s="20"/>
      <c r="L14" s="20"/>
    </row>
    <row r="15" customFormat="false" ht="15" hidden="false" customHeight="false" outlineLevel="0" collapsed="false">
      <c r="A15" s="20"/>
      <c r="B15" s="20"/>
      <c r="C15" s="20"/>
      <c r="D15" s="20"/>
      <c r="E15" s="21"/>
      <c r="F15" s="21"/>
      <c r="G15" s="22"/>
      <c r="H15" s="22"/>
      <c r="I15" s="18" t="str">
        <f aca="true">IF(F15="","",F15-TODAY())</f>
        <v/>
      </c>
      <c r="J15" s="26" t="str">
        <f aca="true">IF(F15="","",IF(F15&lt;TODAY(),"EXPIRED",IF(F15&lt;=TODAY()+30,"RENEW SOON","Active")))</f>
        <v/>
      </c>
      <c r="K15" s="20"/>
      <c r="L15" s="20"/>
    </row>
    <row r="16" customFormat="false" ht="15" hidden="false" customHeight="false" outlineLevel="0" collapsed="false">
      <c r="A16" s="20"/>
      <c r="B16" s="20"/>
      <c r="C16" s="20"/>
      <c r="D16" s="20"/>
      <c r="E16" s="21"/>
      <c r="F16" s="21"/>
      <c r="G16" s="22"/>
      <c r="H16" s="22"/>
      <c r="I16" s="18" t="str">
        <f aca="true">IF(F16="","",F16-TODAY())</f>
        <v/>
      </c>
      <c r="J16" s="26" t="str">
        <f aca="true">IF(F16="","",IF(F16&lt;TODAY(),"EXPIRED",IF(F16&lt;=TODAY()+30,"RENEW SOON","Active")))</f>
        <v/>
      </c>
      <c r="K16" s="20"/>
      <c r="L16" s="20"/>
    </row>
    <row r="17" customFormat="false" ht="15" hidden="false" customHeight="false" outlineLevel="0" collapsed="false">
      <c r="A17" s="20"/>
      <c r="B17" s="20"/>
      <c r="C17" s="20"/>
      <c r="D17" s="20"/>
      <c r="E17" s="21"/>
      <c r="F17" s="21"/>
      <c r="G17" s="22"/>
      <c r="H17" s="22"/>
      <c r="I17" s="18" t="str">
        <f aca="true">IF(F17="","",F17-TODAY())</f>
        <v/>
      </c>
      <c r="J17" s="26" t="str">
        <f aca="true">IF(F17="","",IF(F17&lt;TODAY(),"EXPIRED",IF(F17&lt;=TODAY()+30,"RENEW SOON","Active")))</f>
        <v/>
      </c>
      <c r="K17" s="20"/>
      <c r="L17" s="20"/>
    </row>
    <row r="18" customFormat="false" ht="15" hidden="false" customHeight="false" outlineLevel="0" collapsed="false">
      <c r="A18" s="20"/>
      <c r="B18" s="20"/>
      <c r="C18" s="20"/>
      <c r="D18" s="20"/>
      <c r="E18" s="21"/>
      <c r="F18" s="21"/>
      <c r="G18" s="22"/>
      <c r="H18" s="22"/>
      <c r="I18" s="18" t="str">
        <f aca="true">IF(F18="","",F18-TODAY())</f>
        <v/>
      </c>
      <c r="J18" s="26" t="str">
        <f aca="true">IF(F18="","",IF(F18&lt;TODAY(),"EXPIRED",IF(F18&lt;=TODAY()+30,"RENEW SOON","Active")))</f>
        <v/>
      </c>
      <c r="K18" s="20"/>
      <c r="L18" s="20"/>
    </row>
    <row r="19" customFormat="false" ht="15" hidden="false" customHeight="false" outlineLevel="0" collapsed="false">
      <c r="A19" s="20"/>
      <c r="B19" s="20"/>
      <c r="C19" s="20"/>
      <c r="D19" s="20"/>
      <c r="E19" s="21"/>
      <c r="F19" s="21"/>
      <c r="G19" s="22"/>
      <c r="H19" s="22"/>
      <c r="I19" s="18" t="str">
        <f aca="true">IF(F19="","",F19-TODAY())</f>
        <v/>
      </c>
      <c r="J19" s="26" t="str">
        <f aca="true">IF(F19="","",IF(F19&lt;TODAY(),"EXPIRED",IF(F19&lt;=TODAY()+30,"RENEW SOON","Active")))</f>
        <v/>
      </c>
      <c r="K19" s="20"/>
      <c r="L19" s="20"/>
    </row>
    <row r="20" customFormat="false" ht="15" hidden="false" customHeight="false" outlineLevel="0" collapsed="false">
      <c r="A20" s="20"/>
      <c r="B20" s="20"/>
      <c r="C20" s="20"/>
      <c r="D20" s="20"/>
      <c r="E20" s="21"/>
      <c r="F20" s="21"/>
      <c r="G20" s="22"/>
      <c r="H20" s="22"/>
      <c r="I20" s="18" t="str">
        <f aca="true">IF(F20="","",F20-TODAY())</f>
        <v/>
      </c>
      <c r="J20" s="26" t="str">
        <f aca="true">IF(F20="","",IF(F20&lt;TODAY(),"EXPIRED",IF(F20&lt;=TODAY()+30,"RENEW SOON","Active")))</f>
        <v/>
      </c>
      <c r="K20" s="20"/>
      <c r="L20" s="20"/>
    </row>
  </sheetData>
  <mergeCells count="2">
    <mergeCell ref="A1:L1"/>
    <mergeCell ref="A2:L2"/>
  </mergeCells>
  <conditionalFormatting sqref="J6:J20">
    <cfRule type="cellIs" priority="2" operator="equal" aboveAverage="0" equalAverage="0" bottom="0" percent="0" rank="0" text="" dxfId="0">
      <formula>"EXPIRED"</formula>
    </cfRule>
    <cfRule type="cellIs" priority="3" operator="equal" aboveAverage="0" equalAverage="0" bottom="0" percent="0" rank="0" text="" dxfId="0">
      <formula>"OVERDUE"</formula>
    </cfRule>
    <cfRule type="cellIs" priority="4" operator="equal" aboveAverage="0" equalAverage="0" bottom="0" percent="0" rank="0" text="" dxfId="1">
      <formula>"RENEW SOON"</formula>
    </cfRule>
    <cfRule type="cellIs" priority="5" operator="equal" aboveAverage="0" equalAverage="0" bottom="0" percent="0" rank="0" text="" dxfId="1">
      <formula>"DUE SOON"</formula>
    </cfRule>
    <cfRule type="cellIs" priority="6" operator="equal" aboveAverage="0" equalAverage="0" bottom="0" percent="0" rank="0" text="" dxfId="2">
      <formula>"Active"</formula>
    </cfRule>
    <cfRule type="cellIs" priority="7" operator="equal" aboveAverage="0" equalAverage="0" bottom="0" percent="0" rank="0" text="" dxfId="2">
      <formula>"OK"</formula>
    </cfRule>
  </conditionalFormatting>
  <dataValidations count="1">
    <dataValidation allowBlank="true" errorStyle="stop" operator="between" showDropDown="false" showErrorMessage="false" showInputMessage="false" sqref="B6:B20" type="list">
      <formula1>"Motor Vehicle,Fire &amp; Burglary,Professional Indemnity,Workers' Compensation / GPA,Group Life,Medical,Public Liability,Other"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26"/>
  </cols>
  <sheetData>
    <row r="1" customFormat="false" ht="16.15" hidden="false" customHeight="false" outlineLevel="0" collapsed="false">
      <c r="A1" s="12" t="s">
        <v>98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15" hidden="false" customHeight="false" outlineLevel="0" collapsed="false">
      <c r="A2" s="13" t="s">
        <v>99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5" customFormat="false" ht="22.35" hidden="false" customHeight="false" outlineLevel="0" collapsed="false">
      <c r="A5" s="14" t="s">
        <v>100</v>
      </c>
      <c r="B5" s="14" t="s">
        <v>101</v>
      </c>
      <c r="C5" s="14" t="s">
        <v>102</v>
      </c>
      <c r="D5" s="14" t="s">
        <v>103</v>
      </c>
      <c r="E5" s="14" t="s">
        <v>104</v>
      </c>
      <c r="F5" s="14" t="s">
        <v>105</v>
      </c>
      <c r="G5" s="14" t="s">
        <v>106</v>
      </c>
      <c r="H5" s="14" t="s">
        <v>107</v>
      </c>
      <c r="I5" s="14" t="s">
        <v>108</v>
      </c>
      <c r="J5" s="14" t="s">
        <v>109</v>
      </c>
      <c r="K5" s="14" t="s">
        <v>92</v>
      </c>
      <c r="L5" s="14" t="s">
        <v>45</v>
      </c>
      <c r="M5" s="14" t="s">
        <v>110</v>
      </c>
      <c r="N5" s="14" t="s">
        <v>49</v>
      </c>
    </row>
    <row r="6" customFormat="false" ht="22.35" hidden="false" customHeight="false" outlineLevel="0" collapsed="false">
      <c r="A6" s="15" t="s">
        <v>50</v>
      </c>
      <c r="B6" s="15" t="s">
        <v>56</v>
      </c>
      <c r="C6" s="15" t="s">
        <v>35</v>
      </c>
      <c r="D6" s="15" t="s">
        <v>111</v>
      </c>
      <c r="E6" s="16" t="n">
        <v>46023</v>
      </c>
      <c r="F6" s="16" t="n">
        <v>46387</v>
      </c>
      <c r="G6" s="17"/>
      <c r="H6" s="15" t="s">
        <v>60</v>
      </c>
      <c r="I6" s="15" t="n">
        <v>30</v>
      </c>
      <c r="J6" s="25" t="n">
        <f aca="false">IF(OR(F6="",I6=""),"",F6-I6)</f>
        <v>46357</v>
      </c>
      <c r="K6" s="18" t="n">
        <f aca="true">IF(F6="","",F6-TODAY())</f>
        <v>94</v>
      </c>
      <c r="L6" s="26" t="str">
        <f aca="true">IF(F6="","",IF(F6&lt;TODAY(),"EXPIRED",IF(F6&lt;=TODAY()+30,"RENEW SOON","Active")))</f>
        <v>Active</v>
      </c>
      <c r="M6" s="15" t="s">
        <v>54</v>
      </c>
      <c r="N6" s="15"/>
    </row>
    <row r="7" customFormat="false" ht="15" hidden="false" customHeight="false" outlineLevel="0" collapsed="false">
      <c r="A7" s="20"/>
      <c r="B7" s="20"/>
      <c r="C7" s="20"/>
      <c r="D7" s="20"/>
      <c r="E7" s="21"/>
      <c r="F7" s="21"/>
      <c r="G7" s="22"/>
      <c r="H7" s="20"/>
      <c r="I7" s="20"/>
      <c r="J7" s="25" t="str">
        <f aca="false">IF(OR(F7="",I7=""),"",F7-I7)</f>
        <v/>
      </c>
      <c r="K7" s="18" t="str">
        <f aca="true">IF(F7="","",F7-TODAY())</f>
        <v/>
      </c>
      <c r="L7" s="26" t="str">
        <f aca="true">IF(F7="","",IF(F7&lt;TODAY(),"EXPIRED",IF(F7&lt;=TODAY()+30,"RENEW SOON","Active")))</f>
        <v/>
      </c>
      <c r="M7" s="20"/>
      <c r="N7" s="20"/>
    </row>
    <row r="8" customFormat="false" ht="15" hidden="false" customHeight="false" outlineLevel="0" collapsed="false">
      <c r="A8" s="20"/>
      <c r="B8" s="20"/>
      <c r="C8" s="20"/>
      <c r="D8" s="20"/>
      <c r="E8" s="21"/>
      <c r="F8" s="21"/>
      <c r="G8" s="22"/>
      <c r="H8" s="20"/>
      <c r="I8" s="20"/>
      <c r="J8" s="25" t="str">
        <f aca="false">IF(OR(F8="",I8=""),"",F8-I8)</f>
        <v/>
      </c>
      <c r="K8" s="18" t="str">
        <f aca="true">IF(F8="","",F8-TODAY())</f>
        <v/>
      </c>
      <c r="L8" s="26" t="str">
        <f aca="true">IF(F8="","",IF(F8&lt;TODAY(),"EXPIRED",IF(F8&lt;=TODAY()+30,"RENEW SOON","Active")))</f>
        <v/>
      </c>
      <c r="M8" s="20"/>
      <c r="N8" s="20"/>
    </row>
    <row r="9" customFormat="false" ht="15" hidden="false" customHeight="false" outlineLevel="0" collapsed="false">
      <c r="A9" s="20"/>
      <c r="B9" s="20"/>
      <c r="C9" s="20"/>
      <c r="D9" s="20"/>
      <c r="E9" s="21"/>
      <c r="F9" s="21"/>
      <c r="G9" s="22"/>
      <c r="H9" s="20"/>
      <c r="I9" s="20"/>
      <c r="J9" s="25" t="str">
        <f aca="false">IF(OR(F9="",I9=""),"",F9-I9)</f>
        <v/>
      </c>
      <c r="K9" s="18" t="str">
        <f aca="true">IF(F9="","",F9-TODAY())</f>
        <v/>
      </c>
      <c r="L9" s="26" t="str">
        <f aca="true">IF(F9="","",IF(F9&lt;TODAY(),"EXPIRED",IF(F9&lt;=TODAY()+30,"RENEW SOON","Active")))</f>
        <v/>
      </c>
      <c r="M9" s="20"/>
      <c r="N9" s="20"/>
    </row>
    <row r="10" customFormat="false" ht="15" hidden="false" customHeight="false" outlineLevel="0" collapsed="false">
      <c r="A10" s="20"/>
      <c r="B10" s="20"/>
      <c r="C10" s="20"/>
      <c r="D10" s="20"/>
      <c r="E10" s="21"/>
      <c r="F10" s="21"/>
      <c r="G10" s="22"/>
      <c r="H10" s="20"/>
      <c r="I10" s="20"/>
      <c r="J10" s="25" t="str">
        <f aca="false">IF(OR(F10="",I10=""),"",F10-I10)</f>
        <v/>
      </c>
      <c r="K10" s="18" t="str">
        <f aca="true">IF(F10="","",F10-TODAY())</f>
        <v/>
      </c>
      <c r="L10" s="26" t="str">
        <f aca="true">IF(F10="","",IF(F10&lt;TODAY(),"EXPIRED",IF(F10&lt;=TODAY()+30,"RENEW SOON","Active")))</f>
        <v/>
      </c>
      <c r="M10" s="20"/>
      <c r="N10" s="20"/>
    </row>
    <row r="11" customFormat="false" ht="15" hidden="false" customHeight="false" outlineLevel="0" collapsed="false">
      <c r="A11" s="20"/>
      <c r="B11" s="20"/>
      <c r="C11" s="20"/>
      <c r="D11" s="20"/>
      <c r="E11" s="21"/>
      <c r="F11" s="21"/>
      <c r="G11" s="22"/>
      <c r="H11" s="20"/>
      <c r="I11" s="20"/>
      <c r="J11" s="25" t="str">
        <f aca="false">IF(OR(F11="",I11=""),"",F11-I11)</f>
        <v/>
      </c>
      <c r="K11" s="18" t="str">
        <f aca="true">IF(F11="","",F11-TODAY())</f>
        <v/>
      </c>
      <c r="L11" s="26" t="str">
        <f aca="true">IF(F11="","",IF(F11&lt;TODAY(),"EXPIRED",IF(F11&lt;=TODAY()+30,"RENEW SOON","Active")))</f>
        <v/>
      </c>
      <c r="M11" s="20"/>
      <c r="N11" s="20"/>
    </row>
    <row r="12" customFormat="false" ht="15" hidden="false" customHeight="false" outlineLevel="0" collapsed="false">
      <c r="A12" s="20"/>
      <c r="B12" s="20"/>
      <c r="C12" s="20"/>
      <c r="D12" s="20"/>
      <c r="E12" s="21"/>
      <c r="F12" s="21"/>
      <c r="G12" s="22"/>
      <c r="H12" s="20"/>
      <c r="I12" s="20"/>
      <c r="J12" s="25" t="str">
        <f aca="false">IF(OR(F12="",I12=""),"",F12-I12)</f>
        <v/>
      </c>
      <c r="K12" s="18" t="str">
        <f aca="true">IF(F12="","",F12-TODAY())</f>
        <v/>
      </c>
      <c r="L12" s="26" t="str">
        <f aca="true">IF(F12="","",IF(F12&lt;TODAY(),"EXPIRED",IF(F12&lt;=TODAY()+30,"RENEW SOON","Active")))</f>
        <v/>
      </c>
      <c r="M12" s="20"/>
      <c r="N12" s="20"/>
    </row>
    <row r="13" customFormat="false" ht="15" hidden="false" customHeight="false" outlineLevel="0" collapsed="false">
      <c r="A13" s="20"/>
      <c r="B13" s="20"/>
      <c r="C13" s="20"/>
      <c r="D13" s="20"/>
      <c r="E13" s="21"/>
      <c r="F13" s="21"/>
      <c r="G13" s="22"/>
      <c r="H13" s="20"/>
      <c r="I13" s="20"/>
      <c r="J13" s="25" t="str">
        <f aca="false">IF(OR(F13="",I13=""),"",F13-I13)</f>
        <v/>
      </c>
      <c r="K13" s="18" t="str">
        <f aca="true">IF(F13="","",F13-TODAY())</f>
        <v/>
      </c>
      <c r="L13" s="26" t="str">
        <f aca="true">IF(F13="","",IF(F13&lt;TODAY(),"EXPIRED",IF(F13&lt;=TODAY()+30,"RENEW SOON","Active")))</f>
        <v/>
      </c>
      <c r="M13" s="20"/>
      <c r="N13" s="20"/>
    </row>
    <row r="14" customFormat="false" ht="15" hidden="false" customHeight="false" outlineLevel="0" collapsed="false">
      <c r="A14" s="20"/>
      <c r="B14" s="20"/>
      <c r="C14" s="20"/>
      <c r="D14" s="20"/>
      <c r="E14" s="21"/>
      <c r="F14" s="21"/>
      <c r="G14" s="22"/>
      <c r="H14" s="20"/>
      <c r="I14" s="20"/>
      <c r="J14" s="25" t="str">
        <f aca="false">IF(OR(F14="",I14=""),"",F14-I14)</f>
        <v/>
      </c>
      <c r="K14" s="18" t="str">
        <f aca="true">IF(F14="","",F14-TODAY())</f>
        <v/>
      </c>
      <c r="L14" s="26" t="str">
        <f aca="true">IF(F14="","",IF(F14&lt;TODAY(),"EXPIRED",IF(F14&lt;=TODAY()+30,"RENEW SOON","Active")))</f>
        <v/>
      </c>
      <c r="M14" s="20"/>
      <c r="N14" s="20"/>
    </row>
    <row r="15" customFormat="false" ht="15" hidden="false" customHeight="false" outlineLevel="0" collapsed="false">
      <c r="A15" s="20"/>
      <c r="B15" s="20"/>
      <c r="C15" s="20"/>
      <c r="D15" s="20"/>
      <c r="E15" s="21"/>
      <c r="F15" s="21"/>
      <c r="G15" s="22"/>
      <c r="H15" s="20"/>
      <c r="I15" s="20"/>
      <c r="J15" s="25" t="str">
        <f aca="false">IF(OR(F15="",I15=""),"",F15-I15)</f>
        <v/>
      </c>
      <c r="K15" s="18" t="str">
        <f aca="true">IF(F15="","",F15-TODAY())</f>
        <v/>
      </c>
      <c r="L15" s="26" t="str">
        <f aca="true">IF(F15="","",IF(F15&lt;TODAY(),"EXPIRED",IF(F15&lt;=TODAY()+30,"RENEW SOON","Active")))</f>
        <v/>
      </c>
      <c r="M15" s="20"/>
      <c r="N15" s="20"/>
    </row>
    <row r="16" customFormat="false" ht="15" hidden="false" customHeight="false" outlineLevel="0" collapsed="false">
      <c r="A16" s="20"/>
      <c r="B16" s="20"/>
      <c r="C16" s="20"/>
      <c r="D16" s="20"/>
      <c r="E16" s="21"/>
      <c r="F16" s="21"/>
      <c r="G16" s="22"/>
      <c r="H16" s="20"/>
      <c r="I16" s="20"/>
      <c r="J16" s="25" t="str">
        <f aca="false">IF(OR(F16="",I16=""),"",F16-I16)</f>
        <v/>
      </c>
      <c r="K16" s="18" t="str">
        <f aca="true">IF(F16="","",F16-TODAY())</f>
        <v/>
      </c>
      <c r="L16" s="26" t="str">
        <f aca="true">IF(F16="","",IF(F16&lt;TODAY(),"EXPIRED",IF(F16&lt;=TODAY()+30,"RENEW SOON","Active")))</f>
        <v/>
      </c>
      <c r="M16" s="20"/>
      <c r="N16" s="20"/>
    </row>
    <row r="17" customFormat="false" ht="15" hidden="false" customHeight="false" outlineLevel="0" collapsed="false">
      <c r="A17" s="20"/>
      <c r="B17" s="20"/>
      <c r="C17" s="20"/>
      <c r="D17" s="20"/>
      <c r="E17" s="21"/>
      <c r="F17" s="21"/>
      <c r="G17" s="22"/>
      <c r="H17" s="20"/>
      <c r="I17" s="20"/>
      <c r="J17" s="25" t="str">
        <f aca="false">IF(OR(F17="",I17=""),"",F17-I17)</f>
        <v/>
      </c>
      <c r="K17" s="18" t="str">
        <f aca="true">IF(F17="","",F17-TODAY())</f>
        <v/>
      </c>
      <c r="L17" s="26" t="str">
        <f aca="true">IF(F17="","",IF(F17&lt;TODAY(),"EXPIRED",IF(F17&lt;=TODAY()+30,"RENEW SOON","Active")))</f>
        <v/>
      </c>
      <c r="M17" s="20"/>
      <c r="N17" s="20"/>
    </row>
    <row r="18" customFormat="false" ht="15" hidden="false" customHeight="false" outlineLevel="0" collapsed="false">
      <c r="A18" s="20"/>
      <c r="B18" s="20"/>
      <c r="C18" s="20"/>
      <c r="D18" s="20"/>
      <c r="E18" s="21"/>
      <c r="F18" s="21"/>
      <c r="G18" s="22"/>
      <c r="H18" s="20"/>
      <c r="I18" s="20"/>
      <c r="J18" s="25" t="str">
        <f aca="false">IF(OR(F18="",I18=""),"",F18-I18)</f>
        <v/>
      </c>
      <c r="K18" s="18" t="str">
        <f aca="true">IF(F18="","",F18-TODAY())</f>
        <v/>
      </c>
      <c r="L18" s="26" t="str">
        <f aca="true">IF(F18="","",IF(F18&lt;TODAY(),"EXPIRED",IF(F18&lt;=TODAY()+30,"RENEW SOON","Active")))</f>
        <v/>
      </c>
      <c r="M18" s="20"/>
      <c r="N18" s="20"/>
    </row>
    <row r="19" customFormat="false" ht="15" hidden="false" customHeight="false" outlineLevel="0" collapsed="false">
      <c r="A19" s="20"/>
      <c r="B19" s="20"/>
      <c r="C19" s="20"/>
      <c r="D19" s="20"/>
      <c r="E19" s="21"/>
      <c r="F19" s="21"/>
      <c r="G19" s="22"/>
      <c r="H19" s="20"/>
      <c r="I19" s="20"/>
      <c r="J19" s="25" t="str">
        <f aca="false">IF(OR(F19="",I19=""),"",F19-I19)</f>
        <v/>
      </c>
      <c r="K19" s="18" t="str">
        <f aca="true">IF(F19="","",F19-TODAY())</f>
        <v/>
      </c>
      <c r="L19" s="26" t="str">
        <f aca="true">IF(F19="","",IF(F19&lt;TODAY(),"EXPIRED",IF(F19&lt;=TODAY()+30,"RENEW SOON","Active")))</f>
        <v/>
      </c>
      <c r="M19" s="20"/>
      <c r="N19" s="20"/>
    </row>
    <row r="20" customFormat="false" ht="15" hidden="false" customHeight="false" outlineLevel="0" collapsed="false">
      <c r="A20" s="20"/>
      <c r="B20" s="20"/>
      <c r="C20" s="20"/>
      <c r="D20" s="20"/>
      <c r="E20" s="21"/>
      <c r="F20" s="21"/>
      <c r="G20" s="22"/>
      <c r="H20" s="20"/>
      <c r="I20" s="20"/>
      <c r="J20" s="25" t="str">
        <f aca="false">IF(OR(F20="",I20=""),"",F20-I20)</f>
        <v/>
      </c>
      <c r="K20" s="18" t="str">
        <f aca="true">IF(F20="","",F20-TODAY())</f>
        <v/>
      </c>
      <c r="L20" s="26" t="str">
        <f aca="true">IF(F20="","",IF(F20&lt;TODAY(),"EXPIRED",IF(F20&lt;=TODAY()+30,"RENEW SOON","Active")))</f>
        <v/>
      </c>
      <c r="M20" s="20"/>
      <c r="N20" s="20"/>
    </row>
    <row r="21" customFormat="false" ht="15" hidden="false" customHeight="false" outlineLevel="0" collapsed="false">
      <c r="A21" s="20"/>
      <c r="B21" s="20"/>
      <c r="C21" s="20"/>
      <c r="D21" s="20"/>
      <c r="E21" s="21"/>
      <c r="F21" s="21"/>
      <c r="G21" s="22"/>
      <c r="H21" s="20"/>
      <c r="I21" s="20"/>
      <c r="J21" s="25" t="str">
        <f aca="false">IF(OR(F21="",I21=""),"",F21-I21)</f>
        <v/>
      </c>
      <c r="K21" s="18" t="str">
        <f aca="true">IF(F21="","",F21-TODAY())</f>
        <v/>
      </c>
      <c r="L21" s="26" t="str">
        <f aca="true">IF(F21="","",IF(F21&lt;TODAY(),"EXPIRED",IF(F21&lt;=TODAY()+30,"RENEW SOON","Active")))</f>
        <v/>
      </c>
      <c r="M21" s="20"/>
      <c r="N21" s="20"/>
    </row>
    <row r="22" customFormat="false" ht="15" hidden="false" customHeight="false" outlineLevel="0" collapsed="false">
      <c r="A22" s="20"/>
      <c r="B22" s="20"/>
      <c r="C22" s="20"/>
      <c r="D22" s="20"/>
      <c r="E22" s="21"/>
      <c r="F22" s="21"/>
      <c r="G22" s="22"/>
      <c r="H22" s="20"/>
      <c r="I22" s="20"/>
      <c r="J22" s="25" t="str">
        <f aca="false">IF(OR(F22="",I22=""),"",F22-I22)</f>
        <v/>
      </c>
      <c r="K22" s="18" t="str">
        <f aca="true">IF(F22="","",F22-TODAY())</f>
        <v/>
      </c>
      <c r="L22" s="26" t="str">
        <f aca="true">IF(F22="","",IF(F22&lt;TODAY(),"EXPIRED",IF(F22&lt;=TODAY()+30,"RENEW SOON","Active")))</f>
        <v/>
      </c>
      <c r="M22" s="20"/>
      <c r="N22" s="20"/>
    </row>
    <row r="23" customFormat="false" ht="15" hidden="false" customHeight="false" outlineLevel="0" collapsed="false">
      <c r="A23" s="20"/>
      <c r="B23" s="20"/>
      <c r="C23" s="20"/>
      <c r="D23" s="20"/>
      <c r="E23" s="21"/>
      <c r="F23" s="21"/>
      <c r="G23" s="22"/>
      <c r="H23" s="20"/>
      <c r="I23" s="20"/>
      <c r="J23" s="25" t="str">
        <f aca="false">IF(OR(F23="",I23=""),"",F23-I23)</f>
        <v/>
      </c>
      <c r="K23" s="18" t="str">
        <f aca="true">IF(F23="","",F23-TODAY())</f>
        <v/>
      </c>
      <c r="L23" s="26" t="str">
        <f aca="true">IF(F23="","",IF(F23&lt;TODAY(),"EXPIRED",IF(F23&lt;=TODAY()+30,"RENEW SOON","Active")))</f>
        <v/>
      </c>
      <c r="M23" s="20"/>
      <c r="N23" s="20"/>
    </row>
    <row r="24" customFormat="false" ht="15" hidden="false" customHeight="false" outlineLevel="0" collapsed="false">
      <c r="A24" s="20"/>
      <c r="B24" s="20"/>
      <c r="C24" s="20"/>
      <c r="D24" s="20"/>
      <c r="E24" s="21"/>
      <c r="F24" s="21"/>
      <c r="G24" s="22"/>
      <c r="H24" s="20"/>
      <c r="I24" s="20"/>
      <c r="J24" s="25" t="str">
        <f aca="false">IF(OR(F24="",I24=""),"",F24-I24)</f>
        <v/>
      </c>
      <c r="K24" s="18" t="str">
        <f aca="true">IF(F24="","",F24-TODAY())</f>
        <v/>
      </c>
      <c r="L24" s="26" t="str">
        <f aca="true">IF(F24="","",IF(F24&lt;TODAY(),"EXPIRED",IF(F24&lt;=TODAY()+30,"RENEW SOON","Active")))</f>
        <v/>
      </c>
      <c r="M24" s="20"/>
      <c r="N24" s="20"/>
    </row>
    <row r="25" customFormat="false" ht="15" hidden="false" customHeight="false" outlineLevel="0" collapsed="false">
      <c r="A25" s="20"/>
      <c r="B25" s="20"/>
      <c r="C25" s="20"/>
      <c r="D25" s="20"/>
      <c r="E25" s="21"/>
      <c r="F25" s="21"/>
      <c r="G25" s="22"/>
      <c r="H25" s="20"/>
      <c r="I25" s="20"/>
      <c r="J25" s="25" t="str">
        <f aca="false">IF(OR(F25="",I25=""),"",F25-I25)</f>
        <v/>
      </c>
      <c r="K25" s="18" t="str">
        <f aca="true">IF(F25="","",F25-TODAY())</f>
        <v/>
      </c>
      <c r="L25" s="26" t="str">
        <f aca="true">IF(F25="","",IF(F25&lt;TODAY(),"EXPIRED",IF(F25&lt;=TODAY()+30,"RENEW SOON","Active")))</f>
        <v/>
      </c>
      <c r="M25" s="20"/>
      <c r="N25" s="20"/>
    </row>
  </sheetData>
  <mergeCells count="2">
    <mergeCell ref="A1:N1"/>
    <mergeCell ref="A2:N2"/>
  </mergeCells>
  <conditionalFormatting sqref="L6:L25">
    <cfRule type="cellIs" priority="2" operator="equal" aboveAverage="0" equalAverage="0" bottom="0" percent="0" rank="0" text="" dxfId="0">
      <formula>"EXPIRED"</formula>
    </cfRule>
    <cfRule type="cellIs" priority="3" operator="equal" aboveAverage="0" equalAverage="0" bottom="0" percent="0" rank="0" text="" dxfId="0">
      <formula>"OVERDUE"</formula>
    </cfRule>
    <cfRule type="cellIs" priority="4" operator="equal" aboveAverage="0" equalAverage="0" bottom="0" percent="0" rank="0" text="" dxfId="1">
      <formula>"RENEW SOON"</formula>
    </cfRule>
    <cfRule type="cellIs" priority="5" operator="equal" aboveAverage="0" equalAverage="0" bottom="0" percent="0" rank="0" text="" dxfId="1">
      <formula>"DUE SOON"</formula>
    </cfRule>
    <cfRule type="cellIs" priority="6" operator="equal" aboveAverage="0" equalAverage="0" bottom="0" percent="0" rank="0" text="" dxfId="2">
      <formula>"Active"</formula>
    </cfRule>
    <cfRule type="cellIs" priority="7" operator="equal" aboveAverage="0" equalAverage="0" bottom="0" percent="0" rank="0" text="" dxfId="2">
      <formula>"OK"</formula>
    </cfRule>
  </conditionalFormatting>
  <dataValidations count="2">
    <dataValidation allowBlank="true" errorStyle="stop" operator="between" showDropDown="false" showErrorMessage="false" showInputMessage="false" sqref="C6:C25" type="list">
      <formula1>"Client Engagement,Supplier,Partnership,Lease,Other"</formula1>
      <formula2>0</formula2>
    </dataValidation>
    <dataValidation allowBlank="true" errorStyle="stop" operator="between" showDropDown="false" showErrorMessage="false" showInputMessage="false" sqref="H6:H2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3"/>
    <col collapsed="false" customWidth="true" hidden="false" outlineLevel="0" max="8" min="7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16.15" hidden="false" customHeight="false" outlineLevel="0" collapsed="false">
      <c r="A1" s="12" t="s">
        <v>112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5" hidden="false" customHeight="false" outlineLevel="0" collapsed="false">
      <c r="A2" s="13" t="s">
        <v>113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customFormat="false" ht="54" hidden="false" customHeight="true" outlineLevel="0" collapsed="false">
      <c r="A5" s="13" t="s">
        <v>114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7" customFormat="false" ht="22.35" hidden="false" customHeight="false" outlineLevel="0" collapsed="false">
      <c r="A7" s="14" t="s">
        <v>115</v>
      </c>
      <c r="B7" s="14" t="s">
        <v>116</v>
      </c>
      <c r="C7" s="14" t="s">
        <v>117</v>
      </c>
      <c r="D7" s="14" t="s">
        <v>118</v>
      </c>
      <c r="E7" s="14" t="s">
        <v>119</v>
      </c>
      <c r="F7" s="14" t="s">
        <v>120</v>
      </c>
      <c r="G7" s="14" t="s">
        <v>121</v>
      </c>
      <c r="H7" s="14" t="s">
        <v>109</v>
      </c>
      <c r="I7" s="14" t="s">
        <v>92</v>
      </c>
      <c r="J7" s="14" t="s">
        <v>45</v>
      </c>
      <c r="K7" s="14" t="s">
        <v>122</v>
      </c>
      <c r="L7" s="14" t="s">
        <v>49</v>
      </c>
    </row>
    <row r="8" customFormat="false" ht="22.35" hidden="false" customHeight="false" outlineLevel="0" collapsed="false">
      <c r="A8" s="20" t="s">
        <v>123</v>
      </c>
      <c r="B8" s="20" t="s">
        <v>124</v>
      </c>
      <c r="C8" s="20" t="s">
        <v>125</v>
      </c>
      <c r="D8" s="20" t="s">
        <v>126</v>
      </c>
      <c r="E8" s="21"/>
      <c r="F8" s="21"/>
      <c r="G8" s="20"/>
      <c r="H8" s="25" t="str">
        <f aca="false">IF(OR(F8="",G8=""),"",F8-G8)</f>
        <v/>
      </c>
      <c r="I8" s="18" t="str">
        <f aca="true">IF(F8="","",F8-TODAY())</f>
        <v/>
      </c>
      <c r="J8" s="26" t="s">
        <v>127</v>
      </c>
      <c r="K8" s="20" t="s">
        <v>128</v>
      </c>
      <c r="L8" s="20" t="s">
        <v>129</v>
      </c>
    </row>
    <row r="9" customFormat="false" ht="22.35" hidden="false" customHeight="false" outlineLevel="0" collapsed="false">
      <c r="A9" s="20" t="s">
        <v>130</v>
      </c>
      <c r="B9" s="20" t="s">
        <v>131</v>
      </c>
      <c r="C9" s="20" t="s">
        <v>132</v>
      </c>
      <c r="D9" s="20" t="s">
        <v>126</v>
      </c>
      <c r="E9" s="21"/>
      <c r="F9" s="21"/>
      <c r="G9" s="20"/>
      <c r="H9" s="25" t="str">
        <f aca="false">IF(OR(F9="",G9=""),"",F9-G9)</f>
        <v/>
      </c>
      <c r="I9" s="18" t="str">
        <f aca="true">IF(F9="","",F9-TODAY())</f>
        <v/>
      </c>
      <c r="J9" s="26" t="s">
        <v>127</v>
      </c>
      <c r="K9" s="20" t="s">
        <v>133</v>
      </c>
      <c r="L9" s="20" t="s">
        <v>134</v>
      </c>
    </row>
    <row r="10" customFormat="false" ht="22.35" hidden="false" customHeight="false" outlineLevel="0" collapsed="false">
      <c r="A10" s="20" t="s">
        <v>135</v>
      </c>
      <c r="B10" s="20" t="s">
        <v>136</v>
      </c>
      <c r="C10" s="20" t="s">
        <v>137</v>
      </c>
      <c r="D10" s="20" t="s">
        <v>126</v>
      </c>
      <c r="E10" s="21"/>
      <c r="F10" s="21"/>
      <c r="G10" s="20" t="n">
        <v>60</v>
      </c>
      <c r="H10" s="25" t="str">
        <f aca="false">IF(OR(F10="",G10=""),"",F10-G10)</f>
        <v/>
      </c>
      <c r="I10" s="18" t="str">
        <f aca="true">IF(F10="","",F10-TODAY())</f>
        <v/>
      </c>
      <c r="J10" s="27" t="s">
        <v>138</v>
      </c>
      <c r="K10" s="20" t="s">
        <v>139</v>
      </c>
      <c r="L10" s="20" t="s">
        <v>140</v>
      </c>
    </row>
    <row r="11" customFormat="false" ht="22.35" hidden="false" customHeight="false" outlineLevel="0" collapsed="false">
      <c r="A11" s="20" t="s">
        <v>141</v>
      </c>
      <c r="B11" s="20" t="s">
        <v>131</v>
      </c>
      <c r="C11" s="20" t="s">
        <v>137</v>
      </c>
      <c r="D11" s="20" t="s">
        <v>126</v>
      </c>
      <c r="E11" s="21"/>
      <c r="F11" s="21"/>
      <c r="G11" s="20" t="n">
        <v>30</v>
      </c>
      <c r="H11" s="25" t="str">
        <f aca="false">IF(OR(F11="",G11=""),"",F11-G11)</f>
        <v/>
      </c>
      <c r="I11" s="18" t="str">
        <f aca="true">IF(F11="","",F11-TODAY())</f>
        <v/>
      </c>
      <c r="J11" s="27" t="s">
        <v>138</v>
      </c>
      <c r="K11" s="20" t="s">
        <v>133</v>
      </c>
      <c r="L11" s="20" t="s">
        <v>142</v>
      </c>
    </row>
    <row r="12" customFormat="false" ht="22.35" hidden="false" customHeight="false" outlineLevel="0" collapsed="false">
      <c r="A12" s="20" t="s">
        <v>143</v>
      </c>
      <c r="B12" s="20" t="s">
        <v>144</v>
      </c>
      <c r="C12" s="20" t="s">
        <v>137</v>
      </c>
      <c r="D12" s="20" t="s">
        <v>145</v>
      </c>
      <c r="E12" s="21"/>
      <c r="F12" s="21"/>
      <c r="G12" s="20"/>
      <c r="H12" s="25" t="str">
        <f aca="false">IF(OR(F12="",G12=""),"",F12-G12)</f>
        <v/>
      </c>
      <c r="I12" s="18" t="str">
        <f aca="true">IF(F12="","",F12-TODAY())</f>
        <v/>
      </c>
      <c r="J12" s="27" t="s">
        <v>138</v>
      </c>
      <c r="K12" s="20" t="s">
        <v>146</v>
      </c>
      <c r="L12" s="20" t="s">
        <v>147</v>
      </c>
    </row>
    <row r="13" customFormat="false" ht="32.8" hidden="false" customHeight="false" outlineLevel="0" collapsed="false">
      <c r="A13" s="20" t="s">
        <v>148</v>
      </c>
      <c r="B13" s="20" t="s">
        <v>149</v>
      </c>
      <c r="C13" s="20" t="s">
        <v>150</v>
      </c>
      <c r="D13" s="20" t="s">
        <v>151</v>
      </c>
      <c r="E13" s="21"/>
      <c r="F13" s="21"/>
      <c r="G13" s="20" t="n">
        <v>60</v>
      </c>
      <c r="H13" s="25" t="str">
        <f aca="false">IF(OR(F13="",G13=""),"",F13-G13)</f>
        <v/>
      </c>
      <c r="I13" s="18" t="str">
        <f aca="true">IF(F13="","",F13-TODAY())</f>
        <v/>
      </c>
      <c r="J13" s="27" t="s">
        <v>138</v>
      </c>
      <c r="K13" s="20" t="s">
        <v>146</v>
      </c>
      <c r="L13" s="20" t="s">
        <v>152</v>
      </c>
    </row>
    <row r="14" customFormat="false" ht="32.8" hidden="false" customHeight="false" outlineLevel="0" collapsed="false">
      <c r="A14" s="20" t="s">
        <v>153</v>
      </c>
      <c r="B14" s="20" t="s">
        <v>154</v>
      </c>
      <c r="C14" s="20" t="s">
        <v>150</v>
      </c>
      <c r="D14" s="20" t="s">
        <v>155</v>
      </c>
      <c r="E14" s="21"/>
      <c r="F14" s="21"/>
      <c r="G14" s="20" t="n">
        <v>60</v>
      </c>
      <c r="H14" s="25" t="str">
        <f aca="false">IF(OR(F14="",G14=""),"",F14-G14)</f>
        <v/>
      </c>
      <c r="I14" s="18" t="str">
        <f aca="true">IF(F14="","",F14-TODAY())</f>
        <v/>
      </c>
      <c r="J14" s="27" t="s">
        <v>138</v>
      </c>
      <c r="K14" s="20" t="s">
        <v>156</v>
      </c>
      <c r="L14" s="20" t="s">
        <v>157</v>
      </c>
    </row>
    <row r="15" customFormat="false" ht="74.6" hidden="false" customHeight="false" outlineLevel="0" collapsed="false">
      <c r="A15" s="20" t="s">
        <v>158</v>
      </c>
      <c r="B15" s="20" t="s">
        <v>159</v>
      </c>
      <c r="C15" s="20" t="s">
        <v>150</v>
      </c>
      <c r="D15" s="20" t="s">
        <v>160</v>
      </c>
      <c r="E15" s="21"/>
      <c r="F15" s="21"/>
      <c r="G15" s="20" t="n">
        <v>90</v>
      </c>
      <c r="H15" s="25" t="str">
        <f aca="false">IF(OR(F15="",G15=""),"",F15-G15)</f>
        <v/>
      </c>
      <c r="I15" s="18" t="str">
        <f aca="true">IF(F15="","",F15-TODAY())</f>
        <v/>
      </c>
      <c r="J15" s="27" t="s">
        <v>138</v>
      </c>
      <c r="K15" s="20" t="s">
        <v>156</v>
      </c>
      <c r="L15" s="20" t="s">
        <v>161</v>
      </c>
    </row>
    <row r="16" customFormat="false" ht="43.25" hidden="false" customHeight="false" outlineLevel="0" collapsed="false">
      <c r="A16" s="20" t="s">
        <v>162</v>
      </c>
      <c r="B16" s="20" t="s">
        <v>163</v>
      </c>
      <c r="C16" s="20" t="s">
        <v>150</v>
      </c>
      <c r="D16" s="20" t="s">
        <v>160</v>
      </c>
      <c r="E16" s="21"/>
      <c r="F16" s="21"/>
      <c r="G16" s="20" t="n">
        <v>90</v>
      </c>
      <c r="H16" s="25" t="str">
        <f aca="false">IF(OR(F16="",G16=""),"",F16-G16)</f>
        <v/>
      </c>
      <c r="I16" s="18" t="str">
        <f aca="true">IF(F16="","",F16-TODAY())</f>
        <v/>
      </c>
      <c r="J16" s="27" t="s">
        <v>164</v>
      </c>
      <c r="K16" s="20" t="s">
        <v>156</v>
      </c>
      <c r="L16" s="20" t="s">
        <v>165</v>
      </c>
    </row>
    <row r="17" customFormat="false" ht="32.8" hidden="false" customHeight="false" outlineLevel="0" collapsed="false">
      <c r="A17" s="20" t="s">
        <v>166</v>
      </c>
      <c r="B17" s="20" t="s">
        <v>167</v>
      </c>
      <c r="C17" s="20" t="s">
        <v>150</v>
      </c>
      <c r="D17" s="20" t="s">
        <v>168</v>
      </c>
      <c r="E17" s="21"/>
      <c r="F17" s="21"/>
      <c r="G17" s="20" t="n">
        <v>90</v>
      </c>
      <c r="H17" s="25" t="str">
        <f aca="false">IF(OR(F17="",G17=""),"",F17-G17)</f>
        <v/>
      </c>
      <c r="I17" s="18" t="str">
        <f aca="true">IF(F17="","",F17-TODAY())</f>
        <v/>
      </c>
      <c r="J17" s="27" t="s">
        <v>138</v>
      </c>
      <c r="K17" s="20" t="s">
        <v>156</v>
      </c>
      <c r="L17" s="20" t="s">
        <v>169</v>
      </c>
    </row>
    <row r="18" customFormat="false" ht="15" hidden="false" customHeight="false" outlineLevel="0" collapsed="false">
      <c r="A18" s="20"/>
      <c r="B18" s="20"/>
      <c r="C18" s="20"/>
      <c r="D18" s="20"/>
      <c r="E18" s="21"/>
      <c r="F18" s="21"/>
      <c r="G18" s="20"/>
      <c r="H18" s="25" t="str">
        <f aca="false">IF(OR(F18="",G18=""),"",F18-G18)</f>
        <v/>
      </c>
      <c r="I18" s="18" t="str">
        <f aca="true">IF(F18="","",F18-TODAY())</f>
        <v/>
      </c>
      <c r="J18" s="26" t="str">
        <f aca="true">IF(A18="","",IF(F18="","Enter expiry date",IF(F18&lt;TODAY(),"EXPIRED",IF(F18&lt;=TODAY()+60,"RENEW SOON","Active"))))</f>
        <v/>
      </c>
      <c r="K18" s="20"/>
      <c r="L18" s="20"/>
    </row>
    <row r="19" customFormat="false" ht="15" hidden="false" customHeight="false" outlineLevel="0" collapsed="false">
      <c r="A19" s="20"/>
      <c r="B19" s="20"/>
      <c r="C19" s="20"/>
      <c r="D19" s="20"/>
      <c r="E19" s="21"/>
      <c r="F19" s="21"/>
      <c r="G19" s="20"/>
      <c r="H19" s="25" t="str">
        <f aca="false">IF(OR(F19="",G19=""),"",F19-G19)</f>
        <v/>
      </c>
      <c r="I19" s="18" t="str">
        <f aca="true">IF(F19="","",F19-TODAY())</f>
        <v/>
      </c>
      <c r="J19" s="26" t="str">
        <f aca="true">IF(A19="","",IF(F19="","Enter expiry date",IF(F19&lt;TODAY(),"EXPIRED",IF(F19&lt;=TODAY()+60,"RENEW SOON","Active"))))</f>
        <v/>
      </c>
      <c r="K19" s="20"/>
      <c r="L19" s="20"/>
    </row>
    <row r="20" customFormat="false" ht="15" hidden="false" customHeight="false" outlineLevel="0" collapsed="false">
      <c r="A20" s="20"/>
      <c r="B20" s="20"/>
      <c r="C20" s="20"/>
      <c r="D20" s="20"/>
      <c r="E20" s="21"/>
      <c r="F20" s="21"/>
      <c r="G20" s="20"/>
      <c r="H20" s="25" t="str">
        <f aca="false">IF(OR(F20="",G20=""),"",F20-G20)</f>
        <v/>
      </c>
      <c r="I20" s="18" t="str">
        <f aca="true">IF(F20="","",F20-TODAY())</f>
        <v/>
      </c>
      <c r="J20" s="26" t="str">
        <f aca="true">IF(A20="","",IF(F20="","Enter expiry date",IF(F20&lt;TODAY(),"EXPIRED",IF(F20&lt;=TODAY()+60,"RENEW SOON","Active"))))</f>
        <v/>
      </c>
      <c r="K20" s="20"/>
      <c r="L20" s="20"/>
    </row>
    <row r="21" customFormat="false" ht="15" hidden="false" customHeight="false" outlineLevel="0" collapsed="false">
      <c r="A21" s="20"/>
      <c r="B21" s="20"/>
      <c r="C21" s="20"/>
      <c r="D21" s="20"/>
      <c r="E21" s="21"/>
      <c r="F21" s="21"/>
      <c r="G21" s="20"/>
      <c r="H21" s="25" t="str">
        <f aca="false">IF(OR(F21="",G21=""),"",F21-G21)</f>
        <v/>
      </c>
      <c r="I21" s="18" t="str">
        <f aca="true">IF(F21="","",F21-TODAY())</f>
        <v/>
      </c>
      <c r="J21" s="26" t="str">
        <f aca="true">IF(A21="","",IF(F21="","Enter expiry date",IF(F21&lt;TODAY(),"EXPIRED",IF(F21&lt;=TODAY()+60,"RENEW SOON","Active"))))</f>
        <v/>
      </c>
      <c r="K21" s="20"/>
      <c r="L21" s="20"/>
    </row>
    <row r="22" customFormat="false" ht="15" hidden="false" customHeight="false" outlineLevel="0" collapsed="false">
      <c r="A22" s="20"/>
      <c r="B22" s="20"/>
      <c r="C22" s="20"/>
      <c r="D22" s="20"/>
      <c r="E22" s="21"/>
      <c r="F22" s="21"/>
      <c r="G22" s="20"/>
      <c r="H22" s="25" t="str">
        <f aca="false">IF(OR(F22="",G22=""),"",F22-G22)</f>
        <v/>
      </c>
      <c r="I22" s="18" t="str">
        <f aca="true">IF(F22="","",F22-TODAY())</f>
        <v/>
      </c>
      <c r="J22" s="26" t="str">
        <f aca="true">IF(A22="","",IF(F22="","Enter expiry date",IF(F22&lt;TODAY(),"EXPIRED",IF(F22&lt;=TODAY()+60,"RENEW SOON","Active"))))</f>
        <v/>
      </c>
      <c r="K22" s="20"/>
      <c r="L22" s="20"/>
    </row>
    <row r="23" customFormat="false" ht="15" hidden="false" customHeight="false" outlineLevel="0" collapsed="false">
      <c r="A23" s="20"/>
      <c r="B23" s="20"/>
      <c r="C23" s="20"/>
      <c r="D23" s="20"/>
      <c r="E23" s="21"/>
      <c r="F23" s="21"/>
      <c r="G23" s="20"/>
      <c r="H23" s="25" t="str">
        <f aca="false">IF(OR(F23="",G23=""),"",F23-G23)</f>
        <v/>
      </c>
      <c r="I23" s="18" t="str">
        <f aca="true">IF(F23="","",F23-TODAY())</f>
        <v/>
      </c>
      <c r="J23" s="26" t="str">
        <f aca="true">IF(A23="","",IF(F23="","Enter expiry date",IF(F23&lt;TODAY(),"EXPIRED",IF(F23&lt;=TODAY()+60,"RENEW SOON","Active"))))</f>
        <v/>
      </c>
      <c r="K23" s="20"/>
      <c r="L23" s="20"/>
    </row>
    <row r="24" customFormat="false" ht="15" hidden="false" customHeight="false" outlineLevel="0" collapsed="false">
      <c r="A24" s="20"/>
      <c r="B24" s="20"/>
      <c r="C24" s="20"/>
      <c r="D24" s="20"/>
      <c r="E24" s="21"/>
      <c r="F24" s="21"/>
      <c r="G24" s="20"/>
      <c r="H24" s="25" t="str">
        <f aca="false">IF(OR(F24="",G24=""),"",F24-G24)</f>
        <v/>
      </c>
      <c r="I24" s="18" t="str">
        <f aca="true">IF(F24="","",F24-TODAY())</f>
        <v/>
      </c>
      <c r="J24" s="26" t="str">
        <f aca="true">IF(A24="","",IF(F24="","Enter expiry date",IF(F24&lt;TODAY(),"EXPIRED",IF(F24&lt;=TODAY()+60,"RENEW SOON","Active"))))</f>
        <v/>
      </c>
      <c r="K24" s="20"/>
      <c r="L24" s="20"/>
    </row>
    <row r="25" customFormat="false" ht="15" hidden="false" customHeight="false" outlineLevel="0" collapsed="false">
      <c r="A25" s="20"/>
      <c r="B25" s="20"/>
      <c r="C25" s="20"/>
      <c r="D25" s="20"/>
      <c r="E25" s="21"/>
      <c r="F25" s="21"/>
      <c r="G25" s="20"/>
      <c r="H25" s="25" t="str">
        <f aca="false">IF(OR(F25="",G25=""),"",F25-G25)</f>
        <v/>
      </c>
      <c r="I25" s="18" t="str">
        <f aca="true">IF(F25="","",F25-TODAY())</f>
        <v/>
      </c>
      <c r="J25" s="26" t="str">
        <f aca="true">IF(A25="","",IF(F25="","Enter expiry date",IF(F25&lt;TODAY(),"EXPIRED",IF(F25&lt;=TODAY()+60,"RENEW SOON","Active"))))</f>
        <v/>
      </c>
      <c r="K25" s="20"/>
      <c r="L25" s="20"/>
    </row>
    <row r="26" customFormat="false" ht="15" hidden="false" customHeight="false" outlineLevel="0" collapsed="false">
      <c r="A26" s="20"/>
      <c r="B26" s="20"/>
      <c r="C26" s="20"/>
      <c r="D26" s="20"/>
      <c r="E26" s="21"/>
      <c r="F26" s="21"/>
      <c r="G26" s="20"/>
      <c r="H26" s="25" t="str">
        <f aca="false">IF(OR(F26="",G26=""),"",F26-G26)</f>
        <v/>
      </c>
      <c r="I26" s="18" t="str">
        <f aca="true">IF(F26="","",F26-TODAY())</f>
        <v/>
      </c>
      <c r="J26" s="26" t="str">
        <f aca="true">IF(A26="","",IF(F26="","Enter expiry date",IF(F26&lt;TODAY(),"EXPIRED",IF(F26&lt;=TODAY()+60,"RENEW SOON","Active"))))</f>
        <v/>
      </c>
      <c r="K26" s="20"/>
      <c r="L26" s="20"/>
    </row>
    <row r="27" customFormat="false" ht="15" hidden="false" customHeight="false" outlineLevel="0" collapsed="false">
      <c r="A27" s="20"/>
      <c r="B27" s="20"/>
      <c r="C27" s="20"/>
      <c r="D27" s="20"/>
      <c r="E27" s="21"/>
      <c r="F27" s="21"/>
      <c r="G27" s="20"/>
      <c r="H27" s="25" t="str">
        <f aca="false">IF(OR(F27="",G27=""),"",F27-G27)</f>
        <v/>
      </c>
      <c r="I27" s="18" t="str">
        <f aca="true">IF(F27="","",F27-TODAY())</f>
        <v/>
      </c>
      <c r="J27" s="26" t="str">
        <f aca="true">IF(A27="","",IF(F27="","Enter expiry date",IF(F27&lt;TODAY(),"EXPIRED",IF(F27&lt;=TODAY()+60,"RENEW SOON","Active"))))</f>
        <v/>
      </c>
      <c r="K27" s="20"/>
      <c r="L27" s="20"/>
    </row>
  </sheetData>
  <mergeCells count="3">
    <mergeCell ref="A1:L1"/>
    <mergeCell ref="A2:L2"/>
    <mergeCell ref="A5:L5"/>
  </mergeCells>
  <conditionalFormatting sqref="J8:J27">
    <cfRule type="cellIs" priority="2" operator="equal" aboveAverage="0" equalAverage="0" bottom="0" percent="0" rank="0" text="" dxfId="0">
      <formula>"EXPIRED"</formula>
    </cfRule>
    <cfRule type="cellIs" priority="3" operator="equal" aboveAverage="0" equalAverage="0" bottom="0" percent="0" rank="0" text="" dxfId="0">
      <formula>"OVERDUE"</formula>
    </cfRule>
    <cfRule type="cellIs" priority="4" operator="equal" aboveAverage="0" equalAverage="0" bottom="0" percent="0" rank="0" text="" dxfId="1">
      <formula>"RENEW SOON"</formula>
    </cfRule>
    <cfRule type="cellIs" priority="5" operator="equal" aboveAverage="0" equalAverage="0" bottom="0" percent="0" rank="0" text="" dxfId="1">
      <formula>"DUE SOON"</formula>
    </cfRule>
    <cfRule type="cellIs" priority="6" operator="equal" aboveAverage="0" equalAverage="0" bottom="0" percent="0" rank="0" text="" dxfId="2">
      <formula>"Active"</formula>
    </cfRule>
    <cfRule type="cellIs" priority="7" operator="equal" aboveAverage="0" equalAverage="0" bottom="0" percent="0" rank="0" text="" dxfId="2">
      <formula>"OK"</formula>
    </cfRule>
    <cfRule type="cellIs" priority="8" operator="equal" aboveAverage="0" equalAverage="0" bottom="0" percent="0" rank="0" text="" dxfId="0">
      <formula>"Not Yet Obtained"</formula>
    </cfRule>
    <cfRule type="cellIs" priority="9" operator="equal" aboveAverage="0" equalAverage="0" bottom="0" percent="0" rank="0" text="" dxfId="1">
      <formula>"To Be Verified"</formula>
    </cfRule>
    <cfRule type="cellIs" priority="10" operator="equal" aboveAverage="0" equalAverage="0" bottom="0" percent="0" rank="0" text="" dxfId="1">
      <formula>"Confirm If Applicable"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11" min="8" style="0" width="13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26"/>
  </cols>
  <sheetData>
    <row r="1" customFormat="false" ht="16.15" hidden="false" customHeight="false" outlineLevel="0" collapsed="false">
      <c r="A1" s="12" t="s">
        <v>170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15" hidden="false" customHeight="false" outlineLevel="0" collapsed="false">
      <c r="A2" s="13" t="s">
        <v>171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5" customFormat="false" ht="22.35" hidden="false" customHeight="false" outlineLevel="0" collapsed="false">
      <c r="A5" s="14" t="s">
        <v>172</v>
      </c>
      <c r="B5" s="14" t="s">
        <v>30</v>
      </c>
      <c r="C5" s="14" t="s">
        <v>173</v>
      </c>
      <c r="D5" s="14" t="s">
        <v>174</v>
      </c>
      <c r="E5" s="14" t="s">
        <v>175</v>
      </c>
      <c r="F5" s="14" t="s">
        <v>176</v>
      </c>
      <c r="G5" s="14" t="s">
        <v>177</v>
      </c>
      <c r="H5" s="14" t="s">
        <v>104</v>
      </c>
      <c r="I5" s="14" t="s">
        <v>178</v>
      </c>
      <c r="J5" s="14" t="s">
        <v>179</v>
      </c>
      <c r="K5" s="14" t="s">
        <v>180</v>
      </c>
      <c r="L5" s="14" t="s">
        <v>45</v>
      </c>
      <c r="M5" s="14" t="s">
        <v>181</v>
      </c>
      <c r="N5" s="14" t="s">
        <v>49</v>
      </c>
    </row>
    <row r="6" customFormat="false" ht="43.25" hidden="false" customHeight="false" outlineLevel="0" collapsed="false">
      <c r="A6" s="20" t="s">
        <v>182</v>
      </c>
      <c r="B6" s="20" t="s">
        <v>183</v>
      </c>
      <c r="C6" s="20" t="s">
        <v>184</v>
      </c>
      <c r="D6" s="20" t="s">
        <v>185</v>
      </c>
      <c r="E6" s="20"/>
      <c r="F6" s="22" t="n">
        <v>0</v>
      </c>
      <c r="G6" s="20" t="s">
        <v>186</v>
      </c>
      <c r="H6" s="21"/>
      <c r="I6" s="21"/>
      <c r="J6" s="18" t="str">
        <f aca="true">IF(I6="","",I6-TODAY())</f>
        <v/>
      </c>
      <c r="K6" s="20" t="s">
        <v>60</v>
      </c>
      <c r="L6" s="20" t="s">
        <v>127</v>
      </c>
      <c r="M6" s="20" t="s">
        <v>54</v>
      </c>
      <c r="N6" s="20" t="s">
        <v>187</v>
      </c>
    </row>
    <row r="7" customFormat="false" ht="53.7" hidden="false" customHeight="false" outlineLevel="0" collapsed="false">
      <c r="A7" s="20" t="s">
        <v>188</v>
      </c>
      <c r="B7" s="20" t="s">
        <v>183</v>
      </c>
      <c r="C7" s="20" t="s">
        <v>189</v>
      </c>
      <c r="D7" s="20" t="s">
        <v>190</v>
      </c>
      <c r="E7" s="20"/>
      <c r="F7" s="22"/>
      <c r="G7" s="20" t="s">
        <v>191</v>
      </c>
      <c r="H7" s="21"/>
      <c r="I7" s="21"/>
      <c r="J7" s="18" t="str">
        <f aca="true">IF(I7="","",I7-TODAY())</f>
        <v/>
      </c>
      <c r="K7" s="20" t="s">
        <v>192</v>
      </c>
      <c r="L7" s="20" t="s">
        <v>193</v>
      </c>
      <c r="M7" s="20" t="s">
        <v>54</v>
      </c>
      <c r="N7" s="20" t="s">
        <v>194</v>
      </c>
    </row>
    <row r="8" customFormat="false" ht="22.35" hidden="false" customHeight="false" outlineLevel="0" collapsed="false">
      <c r="A8" s="20" t="s">
        <v>195</v>
      </c>
      <c r="B8" s="20" t="s">
        <v>196</v>
      </c>
      <c r="C8" s="20" t="s">
        <v>197</v>
      </c>
      <c r="D8" s="20" t="s">
        <v>198</v>
      </c>
      <c r="E8" s="20"/>
      <c r="F8" s="22" t="n">
        <v>0</v>
      </c>
      <c r="G8" s="20" t="s">
        <v>186</v>
      </c>
      <c r="H8" s="21"/>
      <c r="I8" s="21"/>
      <c r="J8" s="18" t="str">
        <f aca="true">IF(I8="","",I8-TODAY())</f>
        <v/>
      </c>
      <c r="K8" s="20" t="s">
        <v>60</v>
      </c>
      <c r="L8" s="20" t="s">
        <v>127</v>
      </c>
      <c r="M8" s="20" t="s">
        <v>54</v>
      </c>
      <c r="N8" s="20" t="s">
        <v>199</v>
      </c>
    </row>
    <row r="9" customFormat="false" ht="32.8" hidden="false" customHeight="false" outlineLevel="0" collapsed="false">
      <c r="A9" s="20" t="s">
        <v>200</v>
      </c>
      <c r="B9" s="20" t="s">
        <v>201</v>
      </c>
      <c r="C9" s="20" t="s">
        <v>202</v>
      </c>
      <c r="D9" s="20" t="s">
        <v>203</v>
      </c>
      <c r="E9" s="20"/>
      <c r="F9" s="22"/>
      <c r="G9" s="20" t="s">
        <v>204</v>
      </c>
      <c r="H9" s="21"/>
      <c r="I9" s="21"/>
      <c r="J9" s="18" t="str">
        <f aca="true">IF(I9="","",I9-TODAY())</f>
        <v/>
      </c>
      <c r="K9" s="20" t="s">
        <v>192</v>
      </c>
      <c r="L9" s="20" t="s">
        <v>127</v>
      </c>
      <c r="M9" s="20" t="s">
        <v>54</v>
      </c>
      <c r="N9" s="20" t="s">
        <v>205</v>
      </c>
    </row>
    <row r="10" customFormat="false" ht="43.25" hidden="false" customHeight="false" outlineLevel="0" collapsed="false">
      <c r="A10" s="20" t="s">
        <v>206</v>
      </c>
      <c r="B10" s="20" t="s">
        <v>201</v>
      </c>
      <c r="C10" s="20" t="s">
        <v>207</v>
      </c>
      <c r="D10" s="20" t="s">
        <v>185</v>
      </c>
      <c r="E10" s="20" t="n">
        <v>1</v>
      </c>
      <c r="F10" s="22" t="n">
        <v>0</v>
      </c>
      <c r="G10" s="20" t="s">
        <v>186</v>
      </c>
      <c r="H10" s="21"/>
      <c r="I10" s="21"/>
      <c r="J10" s="18" t="str">
        <f aca="true">IF(I10="","",I10-TODAY())</f>
        <v/>
      </c>
      <c r="K10" s="20" t="s">
        <v>60</v>
      </c>
      <c r="L10" s="20" t="s">
        <v>127</v>
      </c>
      <c r="M10" s="20" t="s">
        <v>54</v>
      </c>
      <c r="N10" s="20" t="s">
        <v>208</v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2"/>
      <c r="G11" s="20"/>
      <c r="H11" s="21"/>
      <c r="I11" s="21"/>
      <c r="J11" s="18" t="str">
        <f aca="true">IF(I11="","",I11-TODAY())</f>
        <v/>
      </c>
      <c r="K11" s="20"/>
      <c r="L11" s="26" t="str">
        <f aca="true">IF(A11="","",IF(I11="","No renewal date set",IF(I11&lt;TODAY(),"EXPIRED",IF(I11&lt;=TODAY()+30,"RENEW SOON","Active"))))</f>
        <v/>
      </c>
      <c r="M11" s="20"/>
      <c r="N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2"/>
      <c r="G12" s="20"/>
      <c r="H12" s="21"/>
      <c r="I12" s="21"/>
      <c r="J12" s="18" t="str">
        <f aca="true">IF(I12="","",I12-TODAY())</f>
        <v/>
      </c>
      <c r="K12" s="20"/>
      <c r="L12" s="26" t="str">
        <f aca="true">IF(A12="","",IF(I12="","No renewal date set",IF(I12&lt;TODAY(),"EXPIRED",IF(I12&lt;=TODAY()+30,"RENEW SOON","Active"))))</f>
        <v/>
      </c>
      <c r="M12" s="20"/>
      <c r="N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2"/>
      <c r="G13" s="20"/>
      <c r="H13" s="21"/>
      <c r="I13" s="21"/>
      <c r="J13" s="18" t="str">
        <f aca="true">IF(I13="","",I13-TODAY())</f>
        <v/>
      </c>
      <c r="K13" s="20"/>
      <c r="L13" s="26" t="str">
        <f aca="true">IF(A13="","",IF(I13="","No renewal date set",IF(I13&lt;TODAY(),"EXPIRED",IF(I13&lt;=TODAY()+30,"RENEW SOON","Active"))))</f>
        <v/>
      </c>
      <c r="M13" s="20"/>
      <c r="N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2"/>
      <c r="G14" s="20"/>
      <c r="H14" s="21"/>
      <c r="I14" s="21"/>
      <c r="J14" s="18" t="str">
        <f aca="true">IF(I14="","",I14-TODAY())</f>
        <v/>
      </c>
      <c r="K14" s="20"/>
      <c r="L14" s="26" t="str">
        <f aca="true">IF(A14="","",IF(I14="","No renewal date set",IF(I14&lt;TODAY(),"EXPIRED",IF(I14&lt;=TODAY()+30,"RENEW SOON","Active"))))</f>
        <v/>
      </c>
      <c r="M14" s="20"/>
      <c r="N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2"/>
      <c r="G15" s="20"/>
      <c r="H15" s="21"/>
      <c r="I15" s="21"/>
      <c r="J15" s="18" t="str">
        <f aca="true">IF(I15="","",I15-TODAY())</f>
        <v/>
      </c>
      <c r="K15" s="20"/>
      <c r="L15" s="26" t="str">
        <f aca="true">IF(A15="","",IF(I15="","No renewal date set",IF(I15&lt;TODAY(),"EXPIRED",IF(I15&lt;=TODAY()+30,"RENEW SOON","Active"))))</f>
        <v/>
      </c>
      <c r="M15" s="20"/>
      <c r="N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2"/>
      <c r="G16" s="20"/>
      <c r="H16" s="21"/>
      <c r="I16" s="21"/>
      <c r="J16" s="18" t="str">
        <f aca="true">IF(I16="","",I16-TODAY())</f>
        <v/>
      </c>
      <c r="K16" s="20"/>
      <c r="L16" s="26" t="str">
        <f aca="true">IF(A16="","",IF(I16="","No renewal date set",IF(I16&lt;TODAY(),"EXPIRED",IF(I16&lt;=TODAY()+30,"RENEW SOON","Active"))))</f>
        <v/>
      </c>
      <c r="M16" s="20"/>
      <c r="N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2"/>
      <c r="G17" s="20"/>
      <c r="H17" s="21"/>
      <c r="I17" s="21"/>
      <c r="J17" s="18" t="str">
        <f aca="true">IF(I17="","",I17-TODAY())</f>
        <v/>
      </c>
      <c r="K17" s="20"/>
      <c r="L17" s="26" t="str">
        <f aca="true">IF(A17="","",IF(I17="","No renewal date set",IF(I17&lt;TODAY(),"EXPIRED",IF(I17&lt;=TODAY()+30,"RENEW SOON","Active"))))</f>
        <v/>
      </c>
      <c r="M17" s="20"/>
      <c r="N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2"/>
      <c r="G18" s="20"/>
      <c r="H18" s="21"/>
      <c r="I18" s="21"/>
      <c r="J18" s="18" t="str">
        <f aca="true">IF(I18="","",I18-TODAY())</f>
        <v/>
      </c>
      <c r="K18" s="20"/>
      <c r="L18" s="26" t="str">
        <f aca="true">IF(A18="","",IF(I18="","No renewal date set",IF(I18&lt;TODAY(),"EXPIRED",IF(I18&lt;=TODAY()+30,"RENEW SOON","Active"))))</f>
        <v/>
      </c>
      <c r="M18" s="20"/>
      <c r="N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2"/>
      <c r="G19" s="20"/>
      <c r="H19" s="21"/>
      <c r="I19" s="21"/>
      <c r="J19" s="18" t="str">
        <f aca="true">IF(I19="","",I19-TODAY())</f>
        <v/>
      </c>
      <c r="K19" s="20"/>
      <c r="L19" s="26" t="str">
        <f aca="true">IF(A19="","",IF(I19="","No renewal date set",IF(I19&lt;TODAY(),"EXPIRED",IF(I19&lt;=TODAY()+30,"RENEW SOON","Active"))))</f>
        <v/>
      </c>
      <c r="M19" s="20"/>
      <c r="N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2"/>
      <c r="G20" s="20"/>
      <c r="H20" s="21"/>
      <c r="I20" s="21"/>
      <c r="J20" s="18" t="str">
        <f aca="true">IF(I20="","",I20-TODAY())</f>
        <v/>
      </c>
      <c r="K20" s="20"/>
      <c r="L20" s="26" t="str">
        <f aca="true">IF(A20="","",IF(I20="","No renewal date set",IF(I20&lt;TODAY(),"EXPIRED",IF(I20&lt;=TODAY()+30,"RENEW SOON","Active"))))</f>
        <v/>
      </c>
      <c r="M20" s="20"/>
      <c r="N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2"/>
      <c r="G21" s="20"/>
      <c r="H21" s="21"/>
      <c r="I21" s="21"/>
      <c r="J21" s="18" t="str">
        <f aca="true">IF(I21="","",I21-TODAY())</f>
        <v/>
      </c>
      <c r="K21" s="20"/>
      <c r="L21" s="26" t="str">
        <f aca="true">IF(A21="","",IF(I21="","No renewal date set",IF(I21&lt;TODAY(),"EXPIRED",IF(I21&lt;=TODAY()+30,"RENEW SOON","Active"))))</f>
        <v/>
      </c>
      <c r="M21" s="20"/>
      <c r="N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2"/>
      <c r="G22" s="20"/>
      <c r="H22" s="21"/>
      <c r="I22" s="21"/>
      <c r="J22" s="18" t="str">
        <f aca="true">IF(I22="","",I22-TODAY())</f>
        <v/>
      </c>
      <c r="K22" s="20"/>
      <c r="L22" s="26" t="str">
        <f aca="true">IF(A22="","",IF(I22="","No renewal date set",IF(I22&lt;TODAY(),"EXPIRED",IF(I22&lt;=TODAY()+30,"RENEW SOON","Active"))))</f>
        <v/>
      </c>
      <c r="M22" s="20"/>
      <c r="N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2"/>
      <c r="G23" s="20"/>
      <c r="H23" s="21"/>
      <c r="I23" s="21"/>
      <c r="J23" s="18" t="str">
        <f aca="true">IF(I23="","",I23-TODAY())</f>
        <v/>
      </c>
      <c r="K23" s="20"/>
      <c r="L23" s="26" t="str">
        <f aca="true">IF(A23="","",IF(I23="","No renewal date set",IF(I23&lt;TODAY(),"EXPIRED",IF(I23&lt;=TODAY()+30,"RENEW SOON","Active"))))</f>
        <v/>
      </c>
      <c r="M23" s="20"/>
      <c r="N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2"/>
      <c r="G24" s="20"/>
      <c r="H24" s="21"/>
      <c r="I24" s="21"/>
      <c r="J24" s="18" t="str">
        <f aca="true">IF(I24="","",I24-TODAY())</f>
        <v/>
      </c>
      <c r="K24" s="20"/>
      <c r="L24" s="26" t="str">
        <f aca="true">IF(A24="","",IF(I24="","No renewal date set",IF(I24&lt;TODAY(),"EXPIRED",IF(I24&lt;=TODAY()+30,"RENEW SOON","Active"))))</f>
        <v/>
      </c>
      <c r="M24" s="20"/>
      <c r="N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2"/>
      <c r="G25" s="20"/>
      <c r="H25" s="21"/>
      <c r="I25" s="21"/>
      <c r="J25" s="18" t="str">
        <f aca="true">IF(I25="","",I25-TODAY())</f>
        <v/>
      </c>
      <c r="K25" s="20"/>
      <c r="L25" s="26" t="str">
        <f aca="true">IF(A25="","",IF(I25="","No renewal date set",IF(I25&lt;TODAY(),"EXPIRED",IF(I25&lt;=TODAY()+30,"RENEW SOON","Active"))))</f>
        <v/>
      </c>
      <c r="M25" s="20"/>
      <c r="N25" s="20"/>
    </row>
  </sheetData>
  <mergeCells count="2">
    <mergeCell ref="A1:N1"/>
    <mergeCell ref="A2:N2"/>
  </mergeCells>
  <conditionalFormatting sqref="L6:L25">
    <cfRule type="cellIs" priority="2" operator="equal" aboveAverage="0" equalAverage="0" bottom="0" percent="0" rank="0" text="" dxfId="0">
      <formula>"EXPIRED"</formula>
    </cfRule>
    <cfRule type="cellIs" priority="3" operator="equal" aboveAverage="0" equalAverage="0" bottom="0" percent="0" rank="0" text="" dxfId="0">
      <formula>"OVERDUE"</formula>
    </cfRule>
    <cfRule type="cellIs" priority="4" operator="equal" aboveAverage="0" equalAverage="0" bottom="0" percent="0" rank="0" text="" dxfId="1">
      <formula>"RENEW SOON"</formula>
    </cfRule>
    <cfRule type="cellIs" priority="5" operator="equal" aboveAverage="0" equalAverage="0" bottom="0" percent="0" rank="0" text="" dxfId="1">
      <formula>"DUE SOON"</formula>
    </cfRule>
    <cfRule type="cellIs" priority="6" operator="equal" aboveAverage="0" equalAverage="0" bottom="0" percent="0" rank="0" text="" dxfId="2">
      <formula>"Active"</formula>
    </cfRule>
    <cfRule type="cellIs" priority="7" operator="equal" aboveAverage="0" equalAverage="0" bottom="0" percent="0" rank="0" text="" dxfId="2">
      <formula>"OK"</formula>
    </cfRule>
    <cfRule type="cellIs" priority="8" operator="equal" aboveAverage="0" equalAverage="0" bottom="0" percent="0" rank="0" text="" dxfId="1">
      <formula>"To Be Confirmed"</formula>
    </cfRule>
  </conditionalFormatting>
  <dataValidations count="2">
    <dataValidation allowBlank="true" errorStyle="stop" operator="between" showDropDown="false" showErrorMessage="false" showInputMessage="false" sqref="B6:B25" type="list">
      <formula1>"Productivity,Accounting,Hosting &amp; Domain,Design,Communication,Other"</formula1>
      <formula2>0</formula2>
    </dataValidation>
    <dataValidation allowBlank="true" errorStyle="stop" operator="between" showDropDown="false" showErrorMessage="false" showInputMessage="false" sqref="K6:K2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2026-09-28T04:36:51Z</dcterms:created>
  <dc:creator>openpyxl</dc:creator>
  <dc:description/>
  <dc:language>en-US</dc:language>
  <cp:lastModifiedBy/>
  <dcterms:modified xsi:type="dcterms:W3CDTF">2026-09-28T04:36:51Z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