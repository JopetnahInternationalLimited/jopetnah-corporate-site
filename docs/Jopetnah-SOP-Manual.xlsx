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OP Register" sheetId="2" state="visible" r:id="rId4"/>
    <sheet name="ADM" sheetId="3" state="visible" r:id="rId5"/>
    <sheet name="HR" sheetId="4" state="visible" r:id="rId6"/>
    <sheet name="FIN" sheetId="5" state="visible" r:id="rId7"/>
    <sheet name="IT" sheetId="6" state="visible" r:id="rId8"/>
    <sheet name="HSE" sheetId="7" state="visible" r:id="rId9"/>
    <sheet name="GOV"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<sst xmlns="http://schemas.openxmlformats.org/spreadsheetml/2006/main" count="889" uniqueCount="442">
  <si>
    <t xml:space="preserve">Jopetnah International Limited</t>
  </si>
  <si>
    <t xml:space="preserve">Standard Operating Procedures (SOP) Manual — Office Operations</t>
  </si>
  <si>
    <t xml:space="preserve">Empowering Businesses with Practical Solutions.</t>
  </si>
  <si>
    <t xml:space="preserve">Purpose</t>
  </si>
  <si>
    <t xml:space="preserve">This manual sets out practical, step-by-step procedures for day-to-day office operations at Jopetnah International Limited. It complements — and does not replace — the Company's 8 published governance policies (Code of Ethics &amp; Business Conduct, Anti-Corruption &amp; Anti-Bribery Policy, Whistleblowing / Speak-Up Policy, Conflict of Interest Policy, Procurement Policy &amp; Supplier Conduct Expectations, Health, Safety &amp; Environment (HSE) Policy, Risk Management Outline, and Data Protection &amp; Privacy Policy), available on the Transparency and Governance pages of the corporate website.</t>
  </si>
  <si>
    <t xml:space="preserve">How to Use This Workbook</t>
  </si>
  <si>
    <t xml:space="preserve">• "SOP Register" is the master index of every procedure, with its department, related policy, owner, version and review date.</t>
  </si>
  <si>
    <t xml:space="preserve">• Each department tab (ADM, HR, FIN, IT, HSE, GOV) contains the full step-by-step procedure for every SOP in that area, including who is responsible for each step and any forms or records to complete.</t>
  </si>
  <si>
    <t xml:space="preserve">• Where a procedure is linked to one of the Company's published governance policies, that policy is named at the top of the SOP. Staff should read the full policy on the Transparency page for the complete governance requirements — this manual gives the practical, day-to-day steps.</t>
  </si>
  <si>
    <t xml:space="preserve">Version Control</t>
  </si>
  <si>
    <t xml:space="preserve">Version</t>
  </si>
  <si>
    <t xml:space="preserve">Date</t>
  </si>
  <si>
    <t xml:space="preserve">Summary of Changes</t>
  </si>
  <si>
    <t xml:space="preserve">Approved By</t>
  </si>
  <si>
    <t xml:space="preserve">1.0</t>
  </si>
  <si>
    <t xml:space="preserve">26 Sep 2026</t>
  </si>
  <si>
    <t xml:space="preserve">First issue of the Office Operations SOP Manual.</t>
  </si>
  <si>
    <t xml:space="preserve">Managing Director</t>
  </si>
  <si>
    <t xml:space="preserve">Ownership &amp; Review</t>
  </si>
  <si>
    <t xml:space="preserve">Each SOP has a named Owner role responsible for keeping it current. All SOPs should be reviewed at least annually, or sooner if the underlying process, a related policy, or applicable law changes. Suggested changes should be raised with the SOP Owner or the Company Secretary.</t>
  </si>
  <si>
    <t xml:space="preserve">SOP Register — Jopetnah International Limited</t>
  </si>
  <si>
    <t xml:space="preserve">Total SOPs</t>
  </si>
  <si>
    <t xml:space="preserve">Active</t>
  </si>
  <si>
    <t xml:space="preserve">Under Review</t>
  </si>
  <si>
    <t xml:space="preserve">SOP Code</t>
  </si>
  <si>
    <t xml:space="preserve">Title</t>
  </si>
  <si>
    <t xml:space="preserve">Department</t>
  </si>
  <si>
    <t xml:space="preserve">Related Policy</t>
  </si>
  <si>
    <t xml:space="preserve">Owner Role</t>
  </si>
  <si>
    <t xml:space="preserve">Effective Date</t>
  </si>
  <si>
    <t xml:space="preserve">Next Review</t>
  </si>
  <si>
    <t xml:space="preserve">Days to Review</t>
  </si>
  <si>
    <t xml:space="preserve">Status</t>
  </si>
  <si>
    <t xml:space="preserve">ADM-01</t>
  </si>
  <si>
    <t xml:space="preserve">Visitor Management &amp; Reception</t>
  </si>
  <si>
    <t xml:space="preserve">Administration (ADM)</t>
  </si>
  <si>
    <t xml:space="preserve">—</t>
  </si>
  <si>
    <t xml:space="preserve">Front Desk / Office Administrator</t>
  </si>
  <si>
    <t xml:space="preserve">ADM-02</t>
  </si>
  <si>
    <t xml:space="preserve">Incoming &amp; Outgoing Correspondence</t>
  </si>
  <si>
    <t xml:space="preserve">Office Administrator</t>
  </si>
  <si>
    <t xml:space="preserve">ADM-03</t>
  </si>
  <si>
    <t xml:space="preserve">Meeting Scheduling &amp; Minute-Taking</t>
  </si>
  <si>
    <t xml:space="preserve">Meeting Organiser</t>
  </si>
  <si>
    <t xml:space="preserve">ADM-04</t>
  </si>
  <si>
    <t xml:space="preserve">Filing &amp; Records Retention</t>
  </si>
  <si>
    <t xml:space="preserve">Office Administrator / Departmental Head</t>
  </si>
  <si>
    <t xml:space="preserve">HR-01</t>
  </si>
  <si>
    <t xml:space="preserve">Recruitment &amp; Onboarding</t>
  </si>
  <si>
    <t xml:space="preserve">Human Resources (HR)</t>
  </si>
  <si>
    <t xml:space="preserve">Code of Ethics &amp; Business Conduct (equal opportunity, merit-based hiring)</t>
  </si>
  <si>
    <t xml:space="preserve">Director – Human Resources &amp; Public Relations</t>
  </si>
  <si>
    <t xml:space="preserve">HR-02</t>
  </si>
  <si>
    <t xml:space="preserve">Leave Request &amp; Approval</t>
  </si>
  <si>
    <t xml:space="preserve">Line Manager / HR</t>
  </si>
  <si>
    <t xml:space="preserve">HR-03</t>
  </si>
  <si>
    <t xml:space="preserve">Offboarding &amp; Exit Clearance</t>
  </si>
  <si>
    <t xml:space="preserve">Data Protection &amp; Privacy Policy (return of records containing personal data)</t>
  </si>
  <si>
    <t xml:space="preserve">HR-04</t>
  </si>
  <si>
    <t xml:space="preserve">Performance Review Cycle</t>
  </si>
  <si>
    <t xml:space="preserve">FIN-01</t>
  </si>
  <si>
    <t xml:space="preserve">Purchase Requisition &amp; Procurement</t>
  </si>
  <si>
    <t xml:space="preserve">Finance &amp; Procurement (FIN)</t>
  </si>
  <si>
    <t xml:space="preserve">Procurement Policy &amp; Supplier Conduct Expectations</t>
  </si>
  <si>
    <t xml:space="preserve">Departmental Head / Finance</t>
  </si>
  <si>
    <t xml:space="preserve">FIN-02</t>
  </si>
  <si>
    <t xml:space="preserve">Petty Cash Management</t>
  </si>
  <si>
    <t xml:space="preserve">Petty Cash Custodian / Finance</t>
  </si>
  <si>
    <t xml:space="preserve">FIN-03</t>
  </si>
  <si>
    <t xml:space="preserve">Expense Claims &amp; Reimbursement</t>
  </si>
  <si>
    <t xml:space="preserve">Finance</t>
  </si>
  <si>
    <t xml:space="preserve">FIN-04</t>
  </si>
  <si>
    <t xml:space="preserve">Supplier Invoice &amp; Payment Processing</t>
  </si>
  <si>
    <t xml:space="preserve">IT-01</t>
  </si>
  <si>
    <t xml:space="preserve">New Starter IT Access Setup</t>
  </si>
  <si>
    <t xml:space="preserve">IT &amp; Data (IT)</t>
  </si>
  <si>
    <t xml:space="preserve">Data Protection &amp; Privacy Policy</t>
  </si>
  <si>
    <t xml:space="preserve">IT Support / HR</t>
  </si>
  <si>
    <t xml:space="preserve">IT-02</t>
  </si>
  <si>
    <t xml:space="preserve">Data Backup &amp; Business Continuity</t>
  </si>
  <si>
    <t xml:space="preserve">Risk Management Outline</t>
  </si>
  <si>
    <t xml:space="preserve">IT Support</t>
  </si>
  <si>
    <t xml:space="preserve">IT-03</t>
  </si>
  <si>
    <t xml:space="preserve">Data Protection Incident Reporting</t>
  </si>
  <si>
    <t xml:space="preserve">IT Support / Managing Director</t>
  </si>
  <si>
    <t xml:space="preserve">IT-04</t>
  </si>
  <si>
    <t xml:space="preserve">Password, Device &amp; Account Security</t>
  </si>
  <si>
    <t xml:space="preserve">HSE-01</t>
  </si>
  <si>
    <t xml:space="preserve">Incident &amp; Near-Miss Reporting</t>
  </si>
  <si>
    <t xml:space="preserve">Health, Safety &amp; Environment (HSE)</t>
  </si>
  <si>
    <t xml:space="preserve">Health, Safety &amp; Environment (HSE) Policy</t>
  </si>
  <si>
    <t xml:space="preserve">Line Manager / Managing Director</t>
  </si>
  <si>
    <t xml:space="preserve">HSE-02</t>
  </si>
  <si>
    <t xml:space="preserve">Office &amp; Site Visit Safety Briefing</t>
  </si>
  <si>
    <t xml:space="preserve">Line Manager / Site Host</t>
  </si>
  <si>
    <t xml:space="preserve">HSE-03</t>
  </si>
  <si>
    <t xml:space="preserve">Emergency Evacuation Procedure</t>
  </si>
  <si>
    <t xml:space="preserve">Office Administrator / Fire Warden</t>
  </si>
  <si>
    <t xml:space="preserve">HSE-04</t>
  </si>
  <si>
    <t xml:space="preserve">PPE Issuance &amp; Maintenance</t>
  </si>
  <si>
    <t xml:space="preserve">Line Manager / HSE Focal Point</t>
  </si>
  <si>
    <t xml:space="preserve">GOV-01</t>
  </si>
  <si>
    <t xml:space="preserve">Conflict of Interest Disclosure</t>
  </si>
  <si>
    <t xml:space="preserve">Governance &amp; Compliance (GOV)</t>
  </si>
  <si>
    <t xml:space="preserve">Conflict of Interest Policy</t>
  </si>
  <si>
    <t xml:space="preserve">Company Secretary / Managing Director</t>
  </si>
  <si>
    <t xml:space="preserve">GOV-02</t>
  </si>
  <si>
    <t xml:space="preserve">Whistleblowing / Speak-Up Reporting</t>
  </si>
  <si>
    <t xml:space="preserve">Whistleblowing / Speak-Up Policy</t>
  </si>
  <si>
    <t xml:space="preserve">Managing Director / Company Secretary</t>
  </si>
  <si>
    <t xml:space="preserve">GOV-03</t>
  </si>
  <si>
    <t xml:space="preserve">Gifts &amp; Hospitality Disclosure</t>
  </si>
  <si>
    <t xml:space="preserve">Anti-Corruption &amp; Anti-Bribery Policy</t>
  </si>
  <si>
    <t xml:space="preserve">Company Secretary / Line Manager</t>
  </si>
  <si>
    <t xml:space="preserve">GOV-04</t>
  </si>
  <si>
    <t xml:space="preserve">Client Enquiry &amp; Complaint Handling</t>
  </si>
  <si>
    <t xml:space="preserve">Office Administrator / Relevant Departmental Head</t>
  </si>
  <si>
    <t xml:space="preserve">ADM — Administration — Standard Operating Procedures</t>
  </si>
  <si>
    <t xml:space="preserve">Jopetnah International Limited | Version 1.0 | Effective 26 Sep 2026</t>
  </si>
  <si>
    <t xml:space="preserve">ADM-01 — Visitor Management &amp; Reception</t>
  </si>
  <si>
    <t xml:space="preserve">Ensure every visitor to a Jopetnah office is greeted professionally, identified, and signed in and out safely.</t>
  </si>
  <si>
    <t xml:space="preserve">Scope</t>
  </si>
  <si>
    <t xml:space="preserve">Applies to all Jopetnah office locations in Uganda, and to reception or front-desk staff at each location.</t>
  </si>
  <si>
    <t xml:space="preserve">Not linked to a specific published policy.</t>
  </si>
  <si>
    <t xml:space="preserve">Step</t>
  </si>
  <si>
    <t xml:space="preserve">Action</t>
  </si>
  <si>
    <t xml:space="preserve">Responsible</t>
  </si>
  <si>
    <t xml:space="preserve">Notes</t>
  </si>
  <si>
    <t xml:space="preserve">Greet the visitor and ask for their name, organisation and the person or department they are visiting.</t>
  </si>
  <si>
    <t xml:space="preserve">Front Desk</t>
  </si>
  <si>
    <t xml:space="preserve">Be courteous even if the visitor arrives unannounced.</t>
  </si>
  <si>
    <t xml:space="preserve">Record the visitor's details in the Visitor Log: name, organisation, host, time in, purpose of visit.</t>
  </si>
  <si>
    <t xml:space="preserve">Use the paper or digital Visitor Log kept at reception.</t>
  </si>
  <si>
    <t xml:space="preserve">Issue a visitor badge and ask the visitor to keep it visible for the duration of the visit.</t>
  </si>
  <si>
    <t xml:space="preserve">Collect the badge back at sign-out.</t>
  </si>
  <si>
    <t xml:space="preserve">Notify the host that their visitor has arrived and ask them to come to reception.</t>
  </si>
  <si>
    <t xml:space="preserve">Visitors should not be left to find their own way to an office.</t>
  </si>
  <si>
    <t xml:space="preserve">Escort or direct the visitor to the meeting area; visitors should not access work areas unaccompanied.</t>
  </si>
  <si>
    <t xml:space="preserve">Host / Front Desk</t>
  </si>
  <si>
    <t xml:space="preserve">Applies especially to areas with confidential documents or IT equipment.</t>
  </si>
  <si>
    <t xml:space="preserve">On departure, record the time out in the Visitor Log and collect the visitor badge.</t>
  </si>
  <si>
    <t xml:space="preserve">Forms / Records</t>
  </si>
  <si>
    <t xml:space="preserve">Visitor Log (paper or digital); Visitor Badge</t>
  </si>
  <si>
    <t xml:space="preserve">ADM-02 — Incoming &amp; Outgoing Correspondence</t>
  </si>
  <si>
    <t xml:space="preserve">Ensure letters, courier items and official documents are logged, routed and dispatched reliably.</t>
  </si>
  <si>
    <t xml:space="preserve">Applies to physical mail, courier deliveries and outgoing official correspondence at all Jopetnah offices.</t>
  </si>
  <si>
    <t xml:space="preserve">Log every incoming item in the Correspondence Register: date received, sender, subject, addressee.</t>
  </si>
  <si>
    <t xml:space="preserve">Do not open items marked "Private &amp; Confidential" or addressed to a named individual.</t>
  </si>
  <si>
    <t xml:space="preserve">Route the item to the addressee or relevant department head within the same working day.</t>
  </si>
  <si>
    <t xml:space="preserve">For outgoing correspondence, confirm the letter or document has been signed by the appropriate authority before dispatch.</t>
  </si>
  <si>
    <t xml:space="preserve">See the Company's signing authority list for who may sign what.</t>
  </si>
  <si>
    <t xml:space="preserve">Log outgoing items in the Correspondence Register with date, recipient, method (courier, post, hand delivery) and reference number.</t>
  </si>
  <si>
    <t xml:space="preserve">Retain a copy of all outgoing official correspondence in the relevant project or client file.</t>
  </si>
  <si>
    <t xml:space="preserve">See ADM-04 Filing &amp; Records Retention.</t>
  </si>
  <si>
    <t xml:space="preserve">Correspondence Register (incoming and outgoing)</t>
  </si>
  <si>
    <t xml:space="preserve">ADM-03 — Meeting Scheduling &amp; Minute-Taking</t>
  </si>
  <si>
    <t xml:space="preserve">Ensure internal and client meetings are organised effectively and that decisions and actions are properly recorded.</t>
  </si>
  <si>
    <t xml:space="preserve">Applies to scheduled internal meetings, management meetings and client meetings organised by Jopetnah staff.</t>
  </si>
  <si>
    <t xml:space="preserve">Confirm the date, time, venue (or video link) and attendee list at least 2 working days in advance where practical.</t>
  </si>
  <si>
    <t xml:space="preserve">Circulate an agenda before the meeting, including the purpose and any documents to be reviewed.</t>
  </si>
  <si>
    <t xml:space="preserve">Book the meeting room or confirm video-conferencing access, and arrange any equipment needed.</t>
  </si>
  <si>
    <t xml:space="preserve">During the meeting, record attendees, key discussion points, decisions made and agreed actions with owners and due dates.</t>
  </si>
  <si>
    <t xml:space="preserve">Minute-Taker</t>
  </si>
  <si>
    <t xml:space="preserve">Use the standard Minutes template.</t>
  </si>
  <si>
    <t xml:space="preserve">Circulate draft minutes to attendees within 2 working days of the meeting for correction.</t>
  </si>
  <si>
    <t xml:space="preserve">File the final minutes in the relevant project, client or departmental folder.</t>
  </si>
  <si>
    <t xml:space="preserve">Meeting Agenda template; Minutes template</t>
  </si>
  <si>
    <t xml:space="preserve">ADM-04 — Filing &amp; Records Retention</t>
  </si>
  <si>
    <t xml:space="preserve">Keep company records organised, retrievable and retained for an appropriate period.</t>
  </si>
  <si>
    <t xml:space="preserve">Applies to physical and digital records created or received by any Jopetnah department.</t>
  </si>
  <si>
    <t xml:space="preserve">Classify the record by type (client file, project file, HR file, financial record, corporate record) and department.</t>
  </si>
  <si>
    <t xml:space="preserve">Originating Staff Member</t>
  </si>
  <si>
    <t xml:space="preserve">File physical records in the correctly labelled folder and cabinet; file digital records in the correct shared folder using the agreed naming convention.</t>
  </si>
  <si>
    <t xml:space="preserve">Naming convention: YYYY-MM-DD_ClientOrProject_DocumentType.</t>
  </si>
  <si>
    <t xml:space="preserve">Mark confidential records clearly and store them in a restricted-access cabinet or folder.</t>
  </si>
  <si>
    <t xml:space="preserve">See the Data Protection &amp; Privacy Policy for handling personal data.</t>
  </si>
  <si>
    <t xml:space="preserve">Review each department's records annually to identify files due for archiving or disposal.</t>
  </si>
  <si>
    <t xml:space="preserve">Departmental Head</t>
  </si>
  <si>
    <t xml:space="preserve">Retain financial and statutory records for the period required by Ugandan law (generally a minimum of 6 years unless otherwise advised).</t>
  </si>
  <si>
    <t xml:space="preserve">Finance Department</t>
  </si>
  <si>
    <t xml:space="preserve">Confirm the applicable period with the Company's auditors or legal advisor before disposal.</t>
  </si>
  <si>
    <t xml:space="preserve">Dispose of expired confidential records securely (shredding for paper, secure deletion for digital files).</t>
  </si>
  <si>
    <t xml:space="preserve">Records Retention Schedule</t>
  </si>
  <si>
    <t xml:space="preserve">HR — Human Resources — Standard Operating Procedures</t>
  </si>
  <si>
    <t xml:space="preserve">HR-01 — Recruitment &amp; Onboarding</t>
  </si>
  <si>
    <t xml:space="preserve">Ensure new hires are recruited fairly and onboarded consistently, with the tools and information they need from day one.</t>
  </si>
  <si>
    <t xml:space="preserve">Applies to all new employee and consultant engagements across Jopetnah's Uganda locations.</t>
  </si>
  <si>
    <t xml:space="preserve">Confirm the vacancy and job description have been approved by the relevant Departmental Head and the Managing Director.</t>
  </si>
  <si>
    <t xml:space="preserve">HR</t>
  </si>
  <si>
    <t xml:space="preserve">Advertise the role, or review speculative applications on file, and shortlist candidates against the job requirements.</t>
  </si>
  <si>
    <t xml:space="preserve">See the Careers page for the speculative-application process.</t>
  </si>
  <si>
    <t xml:space="preserve">Conduct interviews using a structured, merit-based process; at least two interviewers where practical.</t>
  </si>
  <si>
    <t xml:space="preserve">HR / Departmental Head</t>
  </si>
  <si>
    <t xml:space="preserve">Decisions must be free from discrimination, per the Code of Ethics &amp; Business Conduct.</t>
  </si>
  <si>
    <t xml:space="preserve">Complete reference and, where relevant, qualification checks before making an offer.</t>
  </si>
  <si>
    <t xml:space="preserve">Issue a written offer and, on acceptance, a contract of employment or consultancy agreement.</t>
  </si>
  <si>
    <t xml:space="preserve">On the first day, provide the new starter with an induction covering company policies, their role, HSE basics and IT access (see IT-01).</t>
  </si>
  <si>
    <t xml:space="preserve">HR / Line Manager</t>
  </si>
  <si>
    <t xml:space="preserve">Provide access to the 8 published governance policies on the Transparency page.</t>
  </si>
  <si>
    <t xml:space="preserve">Confirm probation period terms and schedule a probation review meeting.</t>
  </si>
  <si>
    <t xml:space="preserve">Job Description template; Interview Scorecard; Offer Letter; Contract of Employment; Induction Checklist</t>
  </si>
  <si>
    <t xml:space="preserve">HR-02 — Leave Request &amp; Approval</t>
  </si>
  <si>
    <t xml:space="preserve">Ensure leave requests are submitted, approved and recorded consistently, and that staffing coverage is maintained.</t>
  </si>
  <si>
    <t xml:space="preserve">Applies to annual leave, and other planned leave, requested by any Jopetnah employee.</t>
  </si>
  <si>
    <t xml:space="preserve">Submit the leave request to your line manager in writing (email or leave form) with proposed dates, giving as much notice as practical.</t>
  </si>
  <si>
    <t xml:space="preserve">Employee</t>
  </si>
  <si>
    <t xml:space="preserve">Advance notice is generally 2 weeks for planned leave, except in emergencies.</t>
  </si>
  <si>
    <t xml:space="preserve">Line manager checks staffing coverage for the requested period and confirms, defers or declines the request.</t>
  </si>
  <si>
    <t xml:space="preserve">Line Manager</t>
  </si>
  <si>
    <t xml:space="preserve">Approved leave is recorded in the Leave Register and the employee's leave balance is updated.</t>
  </si>
  <si>
    <t xml:space="preserve">The employee arranges appropriate handover of ongoing tasks before departure.</t>
  </si>
  <si>
    <t xml:space="preserve">On return, the employee confirms their return date to HR and the leave record is closed.</t>
  </si>
  <si>
    <t xml:space="preserve">Employee / HR</t>
  </si>
  <si>
    <t xml:space="preserve">Leave Request Form; Leave Register</t>
  </si>
  <si>
    <t xml:space="preserve">HR-03 — Offboarding &amp; Exit Clearance</t>
  </si>
  <si>
    <t xml:space="preserve">Ensure departing staff are exited in an orderly way that protects company assets, data and continuity of work.</t>
  </si>
  <si>
    <t xml:space="preserve">Applies to resignations, contract completions, and terminations of Jopetnah employees and consultants.</t>
  </si>
  <si>
    <t xml:space="preserve">Confirm the employee's last working day and notice period in writing.</t>
  </si>
  <si>
    <t xml:space="preserve">Arrange handover of ongoing tasks, client relationships and project responsibilities to a named colleague.</t>
  </si>
  <si>
    <t xml:space="preserve">Complete an exit clearance checklist: return of company property (laptop, phone, keys, ID), revocation of IT and building access.</t>
  </si>
  <si>
    <t xml:space="preserve">HR / IT</t>
  </si>
  <si>
    <t xml:space="preserve">See IT-01 for access provisioning; access must be revoked on the last working day.</t>
  </si>
  <si>
    <t xml:space="preserve">Conduct an exit interview to capture feedback, where the departing person is willing.</t>
  </si>
  <si>
    <t xml:space="preserve">Confirm final pay, outstanding leave balance and any other dues are settled in line with the contract of employment.</t>
  </si>
  <si>
    <t xml:space="preserve">Finance / HR</t>
  </si>
  <si>
    <t xml:space="preserve">Update HR records to reflect the departure and archive the employee file per ADM-04.</t>
  </si>
  <si>
    <t xml:space="preserve">Exit Clearance Checklist; Exit Interview Form</t>
  </si>
  <si>
    <t xml:space="preserve">HR-04 — Performance Review Cycle</t>
  </si>
  <si>
    <t xml:space="preserve">Give staff regular, fair feedback on performance and identify development needs.</t>
  </si>
  <si>
    <t xml:space="preserve">Applies to all confirmed employees, reviewed at least annually.</t>
  </si>
  <si>
    <t xml:space="preserve">HR issues the performance review schedule and template to all line managers.</t>
  </si>
  <si>
    <t xml:space="preserve">Employee completes a self-assessment against agreed objectives ahead of the review meeting.</t>
  </si>
  <si>
    <t xml:space="preserve">Line manager holds a review meeting, discusses performance against objectives, and agrees development actions.</t>
  </si>
  <si>
    <t xml:space="preserve">Line manager records the outcome and rating, and both parties sign the completed review form.</t>
  </si>
  <si>
    <t xml:space="preserve">Line Manager / Employee</t>
  </si>
  <si>
    <t xml:space="preserve">HR files the completed review and tracks agreed development actions for follow-up.</t>
  </si>
  <si>
    <t xml:space="preserve">Performance Review Form; Self-Assessment Template</t>
  </si>
  <si>
    <t xml:space="preserve">FIN — Finance &amp; Procurement — Standard Operating Procedures</t>
  </si>
  <si>
    <t xml:space="preserve">FIN-01 — Purchase Requisition &amp; Procurement</t>
  </si>
  <si>
    <t xml:space="preserve">Ensure goods, works and services are procured fairly, transparently and with proper authorisation.</t>
  </si>
  <si>
    <t xml:space="preserve">Applies to all purchases of goods, works and services made on behalf of Jopetnah International Limited.</t>
  </si>
  <si>
    <t xml:space="preserve">Raise a Purchase Requisition describing the need, estimated cost and budget line.</t>
  </si>
  <si>
    <t xml:space="preserve">Requesting Staff Member</t>
  </si>
  <si>
    <t xml:space="preserve">Obtain quotations appropriate to the value and risk of the purchase; low-value routine purchases may use simplified sourcing within authorised limits.</t>
  </si>
  <si>
    <t xml:space="preserve">Requesting Staff Member / Finance</t>
  </si>
  <si>
    <t xml:space="preserve">See the Procurement Policy for competitive-sourcing thresholds.</t>
  </si>
  <si>
    <t xml:space="preserve">Evaluate quotations against price, quality, delivery and supplier reliability, and select a supplier.</t>
  </si>
  <si>
    <t xml:space="preserve">Disclose any conflict of interest with a supplier before evaluation — see GOV-01.</t>
  </si>
  <si>
    <t xml:space="preserve">Obtain approval from the authorised approver for the value of the purchase before placing an order.</t>
  </si>
  <si>
    <t xml:space="preserve">Departmental Head / Managing Director</t>
  </si>
  <si>
    <t xml:space="preserve">See the Company's approval-limits table.</t>
  </si>
  <si>
    <t xml:space="preserve">Issue a Purchase Order to the chosen supplier and file a copy with the requisition and quotations.</t>
  </si>
  <si>
    <t xml:space="preserve">On delivery, check goods or services received against the Purchase Order before approving payment.</t>
  </si>
  <si>
    <t xml:space="preserve">See FIN-04 for invoice and payment processing.</t>
  </si>
  <si>
    <t xml:space="preserve">Purchase Requisition Form; Purchase Order; Supplier Quotation Comparison</t>
  </si>
  <si>
    <t xml:space="preserve">FIN-02 — Petty Cash Management</t>
  </si>
  <si>
    <t xml:space="preserve">Ensure small, low-value office expenses are managed with proper control and record-keeping.</t>
  </si>
  <si>
    <t xml:space="preserve">Applies to petty cash floats held at any Jopetnah office location.</t>
  </si>
  <si>
    <t xml:space="preserve">Set the petty cash float at an amount approved by Finance for each office (e.g. a fixed float replenished periodically).</t>
  </si>
  <si>
    <t xml:space="preserve">Staff requesting petty cash complete a Petty Cash Voucher stating the purpose and amount, and obtain their supervisor's approval.</t>
  </si>
  <si>
    <t xml:space="preserve">Vouchers over a set threshold require Departmental Head approval.</t>
  </si>
  <si>
    <t xml:space="preserve">The Custodian issues the cash against the approved voucher and retains the voucher and any receipt.</t>
  </si>
  <si>
    <t xml:space="preserve">Petty Cash Custodian</t>
  </si>
  <si>
    <t xml:space="preserve">The Custodian reconciles the float regularly, matching cash on hand plus vouchers to the original float amount.</t>
  </si>
  <si>
    <t xml:space="preserve">Finance reviews and replenishes the float on presentation of the reconciled vouchers and receipts.</t>
  </si>
  <si>
    <t xml:space="preserve">Petty Cash Voucher; Petty Cash Reconciliation Sheet</t>
  </si>
  <si>
    <t xml:space="preserve">FIN-03 — Expense Claims &amp; Reimbursement</t>
  </si>
  <si>
    <t xml:space="preserve">Ensure staff are reimbursed promptly and fairly for legitimate business expenses.</t>
  </si>
  <si>
    <t xml:space="preserve">Applies to travel, subsistence and other business expenses incurred by staff on Company business.</t>
  </si>
  <si>
    <t xml:space="preserve">Employee completes an Expense Claim Form listing each expense, its business purpose, and attaches original receipts.</t>
  </si>
  <si>
    <t xml:space="preserve">Line manager reviews the claim for reasonableness and business relevance, and approves or queries it.</t>
  </si>
  <si>
    <t xml:space="preserve">Finance checks the approved claim against receipts and the Company's expense limits before processing payment.</t>
  </si>
  <si>
    <t xml:space="preserve">Payment is made by the agreed method (bank transfer or petty cash for small amounts) within the Company's standard reimbursement period.</t>
  </si>
  <si>
    <t xml:space="preserve">Target: within 10 working days of an approved claim.</t>
  </si>
  <si>
    <t xml:space="preserve">Finance files the claim, approvals and receipts with the relevant project or cost centre.</t>
  </si>
  <si>
    <t xml:space="preserve">Expense Claim Form</t>
  </si>
  <si>
    <t xml:space="preserve">FIN-04 — Supplier Invoice &amp; Payment Processing</t>
  </si>
  <si>
    <t xml:space="preserve">Ensure supplier invoices are checked, approved and paid accurately and on time.</t>
  </si>
  <si>
    <t xml:space="preserve">Applies to invoices received from suppliers, contractors and service providers.</t>
  </si>
  <si>
    <t xml:space="preserve">Log the incoming invoice and match it against the corresponding Purchase Order and delivery confirmation.</t>
  </si>
  <si>
    <t xml:space="preserve">See FIN-01. An invoice with no matching Purchase Order should be queried before payment.</t>
  </si>
  <si>
    <t xml:space="preserve">Obtain sign-off from the requesting Departmental Head confirming goods or services were received satisfactorily.</t>
  </si>
  <si>
    <t xml:space="preserve">Check the invoice for accuracy: amounts, tax treatment, banking details and supplier identity.</t>
  </si>
  <si>
    <t xml:space="preserve">Verify any change of supplier bank details directly with the supplier through a known contact channel before paying, to guard against fraud.</t>
  </si>
  <si>
    <t xml:space="preserve">Process payment within the agreed supplier payment terms and record the transaction in the accounting system.</t>
  </si>
  <si>
    <t xml:space="preserve">File the invoice, Purchase Order, delivery confirmation and proof of payment together.</t>
  </si>
  <si>
    <t xml:space="preserve">See ADM-04 for retention periods.</t>
  </si>
  <si>
    <t xml:space="preserve">Invoice Approval Stamp / Checklist; Payment Voucher</t>
  </si>
  <si>
    <t xml:space="preserve">IT — IT &amp; Data — Standard Operating Procedures</t>
  </si>
  <si>
    <t xml:space="preserve">IT-01 — New Starter IT Access Setup</t>
  </si>
  <si>
    <t xml:space="preserve">Ensure new staff receive the correct IT accounts and access on their first day, and only the access their role requires.</t>
  </si>
  <si>
    <t xml:space="preserve">Applies to new employees, consultants and contractors requiring Company IT access.</t>
  </si>
  <si>
    <t xml:space="preserve">HR notifies IT of the new starter's role, department and start date at least 3 working days in advance.</t>
  </si>
  <si>
    <t xml:space="preserve">IT creates the user's email account and any role-specific system access, limited to what the role requires.</t>
  </si>
  <si>
    <t xml:space="preserve">Apply least-privilege access; do not grant administrative rights by default.</t>
  </si>
  <si>
    <t xml:space="preserve">IT issues any required equipment (laptop, phone) with standard security software installed and configured.</t>
  </si>
  <si>
    <t xml:space="preserve">New starter is briefed on password requirements, acceptable use of Company systems, and how to report a lost device or suspected data incident.</t>
  </si>
  <si>
    <t xml:space="preserve">IT Support / Line Manager</t>
  </si>
  <si>
    <t xml:space="preserve">See IT-03 for incident reporting.</t>
  </si>
  <si>
    <t xml:space="preserve">IT records the account and equipment issued against the employee's name for future reference and offboarding.</t>
  </si>
  <si>
    <t xml:space="preserve">See HR-03 Offboarding for access revocation.</t>
  </si>
  <si>
    <t xml:space="preserve">IT Access Request Form; Equipment Issue Log</t>
  </si>
  <si>
    <t xml:space="preserve">IT-02 — Data Backup &amp; Business Continuity</t>
  </si>
  <si>
    <t xml:space="preserve">Ensure important Company data can be recovered in the event of loss, damage or system failure.</t>
  </si>
  <si>
    <t xml:space="preserve">Applies to Company data held on shared drives, business systems and Company-issued devices.</t>
  </si>
  <si>
    <t xml:space="preserve">Identify which systems and shared folders hold data critical to ongoing operations.</t>
  </si>
  <si>
    <t xml:space="preserve">Configure automatic, regular backups of critical data to a separate, secure location.</t>
  </si>
  <si>
    <t xml:space="preserve">Periodically test that a backup can actually be restored, not just that it completed.</t>
  </si>
  <si>
    <t xml:space="preserve">A backup that has never been restored is unverified.</t>
  </si>
  <si>
    <t xml:space="preserve">Maintain a simple record of what is backed up, how often, and where the backup is stored.</t>
  </si>
  <si>
    <t xml:space="preserve">In the event of a system failure or data loss, restore from the most recent verified backup and log the incident.</t>
  </si>
  <si>
    <t xml:space="preserve">See IT-03 if the loss involves personal data.</t>
  </si>
  <si>
    <t xml:space="preserve">Backup Schedule Record; Restore Test Log</t>
  </si>
  <si>
    <t xml:space="preserve">IT-03 — Data Protection Incident Reporting</t>
  </si>
  <si>
    <t xml:space="preserve">Ensure a suspected data breach or loss of personal data is identified, contained and reported promptly.</t>
  </si>
  <si>
    <t xml:space="preserve">Applies to any suspected loss, unauthorised access, or unauthorised disclosure of personal data handled by Jopetnah.</t>
  </si>
  <si>
    <t xml:space="preserve">Any staff member who suspects a data incident (lost device, misdirected email containing personal data, unauthorised access) reports it immediately to IT Support and their line manager.</t>
  </si>
  <si>
    <t xml:space="preserve">Any Staff Member</t>
  </si>
  <si>
    <t xml:space="preserve">Do not wait to assess severity yourself — report first.</t>
  </si>
  <si>
    <t xml:space="preserve">IT Support takes immediate steps to contain the incident (e.g. revoking access, recalling an email, isolating a device).</t>
  </si>
  <si>
    <t xml:space="preserve">IT Support and the Managing Director assess the nature and scale of the data involved and the likely risk to affected individuals.</t>
  </si>
  <si>
    <t xml:space="preserve">Where the incident involves personal data submitted via the website's Contact form or otherwise held by the Company, assess whether affected individuals or the Personal Data Protection Office need to be notified under Uganda's Data Protection and Privacy Act.</t>
  </si>
  <si>
    <t xml:space="preserve">Seek legal advice on notification obligations and timelines.</t>
  </si>
  <si>
    <t xml:space="preserve">Document the incident, containment steps, and outcome in the Data Incident Log.</t>
  </si>
  <si>
    <t xml:space="preserve">Review the cause of the incident and implement corrective measures to reduce recurrence.</t>
  </si>
  <si>
    <t xml:space="preserve">Data Incident Log; Incident Report Form</t>
  </si>
  <si>
    <t xml:space="preserve">IT-04 — Password, Device &amp; Account Security</t>
  </si>
  <si>
    <t xml:space="preserve">Maintain basic security hygiene across Company accounts and devices.</t>
  </si>
  <si>
    <t xml:space="preserve">Applies to all staff using Company IT accounts, devices or systems.</t>
  </si>
  <si>
    <t xml:space="preserve">Use a unique password for each Company account; do not reuse personal passwords for Company systems.</t>
  </si>
  <si>
    <t xml:space="preserve">Enable multi-factor authentication on email and other systems where it is available.</t>
  </si>
  <si>
    <t xml:space="preserve">Employee / IT Support</t>
  </si>
  <si>
    <t xml:space="preserve">Lock or log off devices when unattended, and do not share login credentials with colleagues.</t>
  </si>
  <si>
    <t xml:space="preserve">Report a lost or stolen Company device to IT Support immediately so access can be revoked.</t>
  </si>
  <si>
    <t xml:space="preserve">See IT-03 if the device held personal or confidential data.</t>
  </si>
  <si>
    <t xml:space="preserve">IT Support periodically reviews active accounts and removes access for anyone who no longer needs it.</t>
  </si>
  <si>
    <t xml:space="preserve">Cross-check against current staff list and HR-03 offboarding records.</t>
  </si>
  <si>
    <t xml:space="preserve">Lost Device Report</t>
  </si>
  <si>
    <t xml:space="preserve">HSE — Health, Safety &amp; Environment — Standard Operating Procedures</t>
  </si>
  <si>
    <t xml:space="preserve">HSE-01 — Incident &amp; Near-Miss Reporting</t>
  </si>
  <si>
    <t xml:space="preserve">Ensure workplace incidents, injuries and near-misses are reported, investigated and used to prevent recurrence.</t>
  </si>
  <si>
    <t xml:space="preserve">Applies to all Jopetnah offices, project sites, and any location where staff undertake Company work.</t>
  </si>
  <si>
    <t xml:space="preserve">Provide first aid or make the immediate area safe if there is any injury or ongoing hazard.</t>
  </si>
  <si>
    <t xml:space="preserve">Any Staff Member / First Aider</t>
  </si>
  <si>
    <t xml:space="preserve">Emergency response takes priority over reporting paperwork.</t>
  </si>
  <si>
    <t xml:space="preserve">Report the incident or near-miss to your line manager as soon as practical, and in any case within 24 hours.</t>
  </si>
  <si>
    <t xml:space="preserve">Record the incident in the Incident Log: date, time, location, people involved, description, and any injury or damage.</t>
  </si>
  <si>
    <t xml:space="preserve">For any serious incident, notify the Managing Director immediately and preserve the scene where safe to do so.</t>
  </si>
  <si>
    <t xml:space="preserve">Investigate the cause of the incident and identify corrective actions to prevent recurrence.</t>
  </si>
  <si>
    <t xml:space="preserve">Track corrective actions to completion and close out the incident record.</t>
  </si>
  <si>
    <t xml:space="preserve">HSE Focal Point</t>
  </si>
  <si>
    <t xml:space="preserve">Incident Report Form; Incident Log; Investigation Report</t>
  </si>
  <si>
    <t xml:space="preserve">HSE-02 — Office &amp; Site Visit Safety Briefing</t>
  </si>
  <si>
    <t xml:space="preserve">Ensure staff and visitors are briefed on relevant hazards before working in or visiting an office or project site.</t>
  </si>
  <si>
    <t xml:space="preserve">Applies to Jopetnah offices and any project or client site visited by staff.</t>
  </si>
  <si>
    <t xml:space="preserve">Before a new starter begins work, brief them on office fire exits, assembly point, first-aid kit location and incident-reporting contact.</t>
  </si>
  <si>
    <t xml:space="preserve">See HR-01 induction.</t>
  </si>
  <si>
    <t xml:space="preserve">Before any site visit, identify foreseeable hazards for that specific site (e.g. traffic, machinery, uneven ground, weather).</t>
  </si>
  <si>
    <t xml:space="preserve">Site Host / Line Manager</t>
  </si>
  <si>
    <t xml:space="preserve">Brief visiting staff on the identified hazards, required PPE, and site-specific emergency arrangements before they enter the site.</t>
  </si>
  <si>
    <t xml:space="preserve">Site Host</t>
  </si>
  <si>
    <t xml:space="preserve">See HSE-04 for PPE issuance.</t>
  </si>
  <si>
    <t xml:space="preserve">Record that the briefing was given, using a simple sign-off sheet.</t>
  </si>
  <si>
    <t xml:space="preserve">Stop or escalate the visit if a hazard is identified that cannot be reasonably controlled.</t>
  </si>
  <si>
    <t xml:space="preserve">See the HSE Policy: personnel may escalate and, where appropriate, stop work.</t>
  </si>
  <si>
    <t xml:space="preserve">Site Safety Briefing Sign-Off Sheet</t>
  </si>
  <si>
    <t xml:space="preserve">HSE-03 — Emergency Evacuation Procedure</t>
  </si>
  <si>
    <t xml:space="preserve">Ensure staff and visitors can evacuate an office safely in the event of fire or another emergency.</t>
  </si>
  <si>
    <t xml:space="preserve">Applies to all Jopetnah office locations.</t>
  </si>
  <si>
    <t xml:space="preserve">On hearing the alarm or an instruction to evacuate, stop work immediately and proceed calmly to the nearest fire exit.</t>
  </si>
  <si>
    <t xml:space="preserve">Do not stop to collect personal belongings.</t>
  </si>
  <si>
    <t xml:space="preserve">Fire Warden directs people to exits and checks that work areas and toilets are clear where safe to do so.</t>
  </si>
  <si>
    <t xml:space="preserve">Fire Warden</t>
  </si>
  <si>
    <t xml:space="preserve">All staff and visitors assemble at the designated assembly point.</t>
  </si>
  <si>
    <t xml:space="preserve">Fire Warden or Office Administrator checks attendance against the Visitor Log (see ADM-01) and staff list to confirm everyone is accounted for.</t>
  </si>
  <si>
    <t xml:space="preserve">Fire Warden / Office Administrator</t>
  </si>
  <si>
    <t xml:space="preserve">Do not re-enter the building until a designated person confirms it is safe to do so.</t>
  </si>
  <si>
    <t xml:space="preserve">Log the evacuation as an incident and review lessons learned.</t>
  </si>
  <si>
    <t xml:space="preserve">See HSE-01.</t>
  </si>
  <si>
    <t xml:space="preserve">Evacuation Assembly Checklist</t>
  </si>
  <si>
    <t xml:space="preserve">HSE-04 — PPE Issuance &amp; Maintenance</t>
  </si>
  <si>
    <t xml:space="preserve">Ensure staff working in higher-risk sectors (engineering, agriculture, energy, mining, logistics) have appropriate personal protective equipment.</t>
  </si>
  <si>
    <t xml:space="preserve">Applies to staff and site visitors undertaking work where PPE is required.</t>
  </si>
  <si>
    <t xml:space="preserve">Identify the PPE required for the specific task or site, based on the hazards present.</t>
  </si>
  <si>
    <t xml:space="preserve">Issue the appropriate PPE to the individual and record what was issued.</t>
  </si>
  <si>
    <t xml:space="preserve">Brief the individual on correct use, fit and limitations of the PPE issued.</t>
  </si>
  <si>
    <t xml:space="preserve">Inspect PPE periodically for damage or wear and replace as needed.</t>
  </si>
  <si>
    <t xml:space="preserve">Individual / HSE Focal Point</t>
  </si>
  <si>
    <t xml:space="preserve">Individuals must not undertake work requiring PPE without it being issued and in good condition.</t>
  </si>
  <si>
    <t xml:space="preserve">See HSE-02: escalate if required PPE is unavailable.</t>
  </si>
  <si>
    <t xml:space="preserve">PPE Issue Register</t>
  </si>
  <si>
    <t xml:space="preserve">GOV — Governance &amp; Compliance — Standard Operating Procedures</t>
  </si>
  <si>
    <t xml:space="preserve">GOV-01 — Conflict of Interest Disclosure</t>
  </si>
  <si>
    <t xml:space="preserve">Ensure personal interests that could affect impartial decision-making are disclosed and managed.</t>
  </si>
  <si>
    <t xml:space="preserve">Applies to directors, officers, employees, consultants and other persons acting for Jopetnah International Limited.</t>
  </si>
  <si>
    <t xml:space="preserve">Identify a situation where you, or someone close to you, has a personal interest that could affect — or appear to affect — a Company decision.</t>
  </si>
  <si>
    <t xml:space="preserve">See the Conflict of Interest Policy for examples.</t>
  </si>
  <si>
    <t xml:space="preserve">Disclose the interest promptly and in writing to your supervisor, the Company Secretary or the Managing Director.</t>
  </si>
  <si>
    <t xml:space="preserve">Where the conflict concerns one of those persons, disclose to another appropriate senior authority instead.</t>
  </si>
  <si>
    <t xml:space="preserve">Management assesses the disclosure and decides on appropriate handling (e.g. recusal from the decision, reassignment, independent review).</t>
  </si>
  <si>
    <t xml:space="preserve">The disclosure and the agreed handling are documented and filed confidentially.</t>
  </si>
  <si>
    <t xml:space="preserve">Company Secretary</t>
  </si>
  <si>
    <t xml:space="preserve">The individual continues to update the disclosure if circumstances change.</t>
  </si>
  <si>
    <t xml:space="preserve">Conflict of Interest Disclosure Form</t>
  </si>
  <si>
    <t xml:space="preserve">GOV-02 — Whistleblowing / Speak-Up Reporting</t>
  </si>
  <si>
    <t xml:space="preserve">Give staff and stakeholders a safe route to report suspected misconduct without fear of retaliation.</t>
  </si>
  <si>
    <t xml:space="preserve">Applies to any person with a genuine concern about misconduct connected to Jopetnah International Limited.</t>
  </si>
  <si>
    <t xml:space="preserve">Identify the concern: bribery, corruption, fraud, serious HSE or environmental breach, discrimination, or other serious misconduct.</t>
  </si>
  <si>
    <t xml:space="preserve">Reporter</t>
  </si>
  <si>
    <t xml:space="preserve">See the Whistleblowing Policy for the full scope.</t>
  </si>
  <si>
    <t xml:space="preserve">Raise the concern with your supervisor where safe to do so, or submit a written report marked "Confidential – Speak-Up" to the Managing Director or Company Secretary.</t>
  </si>
  <si>
    <t xml:space="preserve">Reports may be submitted without a name if preferred.</t>
  </si>
  <si>
    <t xml:space="preserve">The recipient acknowledges the report where contact details are available, and assigns a designated investigator.</t>
  </si>
  <si>
    <t xml:space="preserve">The investigator conducts a fair, impartial review, seeking further information from the reporter if needed.</t>
  </si>
  <si>
    <t xml:space="preserve">Investigator</t>
  </si>
  <si>
    <t xml:space="preserve">Findings are documented and appropriate action is taken if misconduct is confirmed.</t>
  </si>
  <si>
    <t xml:space="preserve">Investigator / Managing Director</t>
  </si>
  <si>
    <t xml:space="preserve">Feedback is given to the reporter where legally and operationally appropriate, and confirmation is given that no retaliation has occurred.</t>
  </si>
  <si>
    <t xml:space="preserve">Speak-Up Report Form (optional); Investigation Log</t>
  </si>
  <si>
    <t xml:space="preserve">GOV-03 — Gifts &amp; Hospitality Disclosure</t>
  </si>
  <si>
    <t xml:space="preserve">Ensure gifts and hospitality offered or received do not create, or appear to create, improper influence.</t>
  </si>
  <si>
    <t xml:space="preserve">Applies to all staff dealing with clients, suppliers, public officials or other business contacts.</t>
  </si>
  <si>
    <t xml:space="preserve">Before accepting or offering a gift or hospitality, assess whether it is modest, lawful, and connected to a legitimate business purpose.</t>
  </si>
  <si>
    <t xml:space="preserve">Cash and cash-equivalent gifts must always be declined.</t>
  </si>
  <si>
    <t xml:space="preserve">Decline any gift or hospitality offered during an active tender, procurement decision or other sensitive process.</t>
  </si>
  <si>
    <t xml:space="preserve">See FIN-01 Procurement.</t>
  </si>
  <si>
    <t xml:space="preserve">Where a gift or hospitality involves a public official, or is otherwise material, seek approval from your line manager before accepting.</t>
  </si>
  <si>
    <t xml:space="preserve">Record material gifts or hospitality given or received in the Gifts &amp; Hospitality Register.</t>
  </si>
  <si>
    <t xml:space="preserve">Line manager or Company Secretary periodically reviews the Register for any pattern of concern.</t>
  </si>
  <si>
    <t xml:space="preserve">Gifts &amp; Hospitality Register</t>
  </si>
  <si>
    <t xml:space="preserve">GOV-04 — Client Enquiry &amp; Complaint Handling</t>
  </si>
  <si>
    <t xml:space="preserve">Ensure enquiries and complaints from clients and the public are handled promptly and professionally.</t>
  </si>
  <si>
    <t xml:space="preserve">Applies to enquiries and complaints received via the website Contact form, email, telephone or in person.</t>
  </si>
  <si>
    <t xml:space="preserve">Log the enquiry or complaint: date received, contact details, channel, and a summary of the request or concern.</t>
  </si>
  <si>
    <t xml:space="preserve">Website Contact form submissions arrive via Formspree to the Company email address.</t>
  </si>
  <si>
    <t xml:space="preserve">Route the enquiry to the relevant Departmental Head or sector lead within 1 working day.</t>
  </si>
  <si>
    <t xml:space="preserve">Acknowledge receipt to the enquirer, aiming to respond within 1–2 business days, consistent with the commitment stated on the website.</t>
  </si>
  <si>
    <t xml:space="preserve">For a complaint, investigate the matter, consulting relevant records or colleagues as needed.</t>
  </si>
  <si>
    <t xml:space="preserve">Respond to the enquirer with a substantive reply or resolution, and record the outcome in the Enquiry Log.</t>
  </si>
  <si>
    <t xml:space="preserve">Escalate any complaint alleging serious misconduct through the Whistleblowing / Speak-Up Policy instead of handling it as a routine complaint.</t>
  </si>
  <si>
    <t xml:space="preserve">See GOV-02.</t>
  </si>
  <si>
    <t xml:space="preserve">Enquiry &amp; Complaint Log</t>
  </si>
</sst>
</file>

<file path=xl/styles.xml><?xml version="1.0" encoding="utf-8"?>
<styleSheet xmlns="http://schemas.openxmlformats.org/spreadsheetml/2006/main">
  <numFmts count="3">
    <numFmt numFmtId="164" formatCode="General"/>
    <numFmt numFmtId="165" formatCode="General"/>
    <numFmt numFmtId="166" formatCode="dd\ mmm\ yyyy"/>
  </numFmts>
  <fonts count="17">
    <font>
      <sz val="11"/>
      <color theme="1"/>
      <name val="Calibri"/>
      <family val="2"/>
      <charset val="1"/>
    </font>
    <font>
      <sz val="10"/>
      <name val="Arial"/>
      <family val="0"/>
    </font>
    <font>
      <sz val="10"/>
      <name val="Arial"/>
      <family val="0"/>
    </font>
    <font>
      <sz val="10"/>
      <name val="Arial"/>
      <family val="0"/>
    </font>
    <font>
      <b val="true"/>
      <sz val="20"/>
      <color rgb="FF1B1E23"/>
      <name val="Arial"/>
      <family val="0"/>
      <charset val="1"/>
    </font>
    <font>
      <b val="true"/>
      <sz val="13"/>
      <color rgb="FF0E86D4"/>
      <name val="Arial"/>
      <family val="0"/>
      <charset val="1"/>
    </font>
    <font>
      <i val="true"/>
      <sz val="10"/>
      <color rgb="FF53555B"/>
      <name val="Arial"/>
      <family val="0"/>
      <charset val="1"/>
    </font>
    <font>
      <b val="true"/>
      <sz val="12"/>
      <color rgb="FF1B1E23"/>
      <name val="Arial"/>
      <family val="0"/>
      <charset val="1"/>
    </font>
    <font>
      <sz val="10"/>
      <color rgb="FF000000"/>
      <name val="Arial"/>
      <family val="0"/>
      <charset val="1"/>
    </font>
    <font>
      <b val="true"/>
      <sz val="10"/>
      <color rgb="FFFFFFFF"/>
      <name val="Arial"/>
      <family val="0"/>
      <charset val="1"/>
    </font>
    <font>
      <b val="true"/>
      <sz val="14"/>
      <color rgb="FF1B1E23"/>
      <name val="Arial"/>
      <family val="0"/>
      <charset val="1"/>
    </font>
    <font>
      <b val="true"/>
      <sz val="10"/>
      <color rgb="FF53555B"/>
      <name val="Arial"/>
      <family val="0"/>
      <charset val="1"/>
    </font>
    <font>
      <b val="true"/>
      <sz val="12"/>
      <color rgb="FF0E86D4"/>
      <name val="Arial"/>
      <family val="0"/>
      <charset val="1"/>
    </font>
    <font>
      <sz val="10"/>
      <color rgb="FF0E86D4"/>
      <name val="Arial"/>
      <family val="0"/>
      <charset val="1"/>
    </font>
    <font>
      <i val="true"/>
      <sz val="9"/>
      <color rgb="FF53555B"/>
      <name val="Arial"/>
      <family val="0"/>
      <charset val="1"/>
    </font>
    <font>
      <b val="true"/>
      <sz val="12"/>
      <color rgb="FFFFFFFF"/>
      <name val="Arial"/>
      <family val="0"/>
      <charset val="1"/>
    </font>
    <font>
      <b val="true"/>
      <sz val="10"/>
      <color rgb="FF1B1E23"/>
      <name val="Arial"/>
      <family val="0"/>
      <charset val="1"/>
    </font>
  </fonts>
  <fills count="5">
    <fill>
      <patternFill patternType="none"/>
    </fill>
    <fill>
      <patternFill patternType="gray125"/>
    </fill>
    <fill>
      <patternFill patternType="solid">
        <fgColor rgb="FF1B1E23"/>
        <bgColor rgb="FF333300"/>
      </patternFill>
    </fill>
    <fill>
      <patternFill patternType="solid">
        <fgColor rgb="FF0E86D4"/>
        <bgColor rgb="FF008080"/>
      </patternFill>
    </fill>
    <fill>
      <patternFill patternType="solid">
        <fgColor rgb="FFEAF4F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3" borderId="1" xfId="0" applyFont="true" applyBorder="true" applyAlignment="false" applyProtection="false">
      <alignment horizontal="general" vertical="bottom" textRotation="0" wrapText="false" indent="0" shrinkToFit="false"/>
      <protection locked="true" hidden="false"/>
    </xf>
    <xf numFmtId="164" fontId="1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F4FC"/>
      <rgbColor rgb="FF660066"/>
      <rgbColor rgb="FFFF8080"/>
      <rgbColor rgb="FF0E86D4"/>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3555B"/>
      <rgbColor rgb="FF969696"/>
      <rgbColor rgb="FF003366"/>
      <rgbColor rgb="FF339966"/>
      <rgbColor rgb="FF003300"/>
      <rgbColor rgb="FF333300"/>
      <rgbColor rgb="FF993300"/>
      <rgbColor rgb="FF993366"/>
      <rgbColor rgb="FF333399"/>
      <rgbColor rgb="FF1B1E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Jopetnah-SOP-Manual.xlsx" TargetMode="External"/><Relationship Id="rId2" Type="http://schemas.openxmlformats.org/officeDocument/2006/relationships/hyperlink" Target="Jopetnah-SOP-Manual.xlsx" TargetMode="External"/><Relationship Id="rId3" Type="http://schemas.openxmlformats.org/officeDocument/2006/relationships/hyperlink" Target="Jopetnah-SOP-Manual.xlsx" TargetMode="External"/><Relationship Id="rId4" Type="http://schemas.openxmlformats.org/officeDocument/2006/relationships/hyperlink" Target="Jopetnah-SOP-Manual.xlsx" TargetMode="External"/><Relationship Id="rId5" Type="http://schemas.openxmlformats.org/officeDocument/2006/relationships/hyperlink" Target="Jopetnah-SOP-Manual.xlsx" TargetMode="External"/><Relationship Id="rId6" Type="http://schemas.openxmlformats.org/officeDocument/2006/relationships/hyperlink" Target="Jopetnah-SOP-Manual.xlsx" TargetMode="External"/><Relationship Id="rId7" Type="http://schemas.openxmlformats.org/officeDocument/2006/relationships/hyperlink" Target="Jopetnah-SOP-Manual.xlsx" TargetMode="External"/><Relationship Id="rId8" Type="http://schemas.openxmlformats.org/officeDocument/2006/relationships/hyperlink" Target="Jopetnah-SOP-Manual.xlsx" TargetMode="External"/><Relationship Id="rId9" Type="http://schemas.openxmlformats.org/officeDocument/2006/relationships/hyperlink" Target="Jopetnah-SOP-Manual.xlsx" TargetMode="External"/><Relationship Id="rId10" Type="http://schemas.openxmlformats.org/officeDocument/2006/relationships/hyperlink" Target="Jopetnah-SOP-Manual.xlsx" TargetMode="External"/><Relationship Id="rId11" Type="http://schemas.openxmlformats.org/officeDocument/2006/relationships/hyperlink" Target="Jopetnah-SOP-Manual.xlsx" TargetMode="External"/><Relationship Id="rId12" Type="http://schemas.openxmlformats.org/officeDocument/2006/relationships/hyperlink" Target="Jopetnah-SOP-Manual.xlsx" TargetMode="External"/><Relationship Id="rId13" Type="http://schemas.openxmlformats.org/officeDocument/2006/relationships/hyperlink" Target="Jopetnah-SOP-Manual.xlsx" TargetMode="External"/><Relationship Id="rId14" Type="http://schemas.openxmlformats.org/officeDocument/2006/relationships/hyperlink" Target="Jopetnah-SOP-Manual.xlsx" TargetMode="External"/><Relationship Id="rId15" Type="http://schemas.openxmlformats.org/officeDocument/2006/relationships/hyperlink" Target="Jopetnah-SOP-Manual.xlsx" TargetMode="External"/><Relationship Id="rId16" Type="http://schemas.openxmlformats.org/officeDocument/2006/relationships/hyperlink" Target="Jopetnah-SOP-Manual.xlsx" TargetMode="External"/><Relationship Id="rId17" Type="http://schemas.openxmlformats.org/officeDocument/2006/relationships/hyperlink" Target="Jopetnah-SOP-Manual.xlsx" TargetMode="External"/><Relationship Id="rId18" Type="http://schemas.openxmlformats.org/officeDocument/2006/relationships/hyperlink" Target="Jopetnah-SOP-Manual.xlsx" TargetMode="External"/><Relationship Id="rId19" Type="http://schemas.openxmlformats.org/officeDocument/2006/relationships/hyperlink" Target="Jopetnah-SOP-Manual.xlsx" TargetMode="External"/><Relationship Id="rId20" Type="http://schemas.openxmlformats.org/officeDocument/2006/relationships/hyperlink" Target="Jopetnah-SOP-Manual.xlsx" TargetMode="External"/><Relationship Id="rId21" Type="http://schemas.openxmlformats.org/officeDocument/2006/relationships/hyperlink" Target="Jopetnah-SOP-Manual.xlsx" TargetMode="External"/><Relationship Id="rId22" Type="http://schemas.openxmlformats.org/officeDocument/2006/relationships/hyperlink" Target="Jopetnah-SOP-Manual.xlsx" TargetMode="External"/><Relationship Id="rId23" Type="http://schemas.openxmlformats.org/officeDocument/2006/relationships/hyperlink" Target="Jopetnah-SOP-Manual.xlsx" TargetMode="External"/><Relationship Id="rId24" Type="http://schemas.openxmlformats.org/officeDocument/2006/relationships/hyperlink" Target="Jopetnah-SOP-Manual.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24.45" hidden="false" customHeight="false" outlineLevel="0" collapsed="false">
      <c r="B2" s="1" t="s">
        <v>0</v>
      </c>
    </row>
    <row r="3" customFormat="false" ht="16.15"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row>
    <row r="7" customFormat="false" ht="57.45" hidden="false" customHeight="false" outlineLevel="0" collapsed="false">
      <c r="B7" s="5" t="s">
        <v>4</v>
      </c>
    </row>
    <row r="9" customFormat="false" ht="15" hidden="false" customHeight="false" outlineLevel="0" collapsed="false">
      <c r="B9" s="4" t="s">
        <v>5</v>
      </c>
    </row>
    <row r="10" customFormat="false" ht="15" hidden="false" customHeight="false" outlineLevel="0" collapsed="false">
      <c r="B10" s="5" t="s">
        <v>6</v>
      </c>
    </row>
    <row r="11" customFormat="false" ht="23.85" hidden="false" customHeight="false" outlineLevel="0" collapsed="false">
      <c r="B11" s="5" t="s">
        <v>7</v>
      </c>
    </row>
    <row r="12" customFormat="false" ht="35.05" hidden="false" customHeight="false" outlineLevel="0" collapsed="false">
      <c r="B12" s="5" t="s">
        <v>8</v>
      </c>
    </row>
    <row r="14" customFormat="false" ht="15" hidden="false" customHeight="false" outlineLevel="0" collapsed="false">
      <c r="B14" s="4" t="s">
        <v>9</v>
      </c>
    </row>
    <row r="15" customFormat="false" ht="15" hidden="false" customHeight="false" outlineLevel="0" collapsed="false">
      <c r="B15" s="6" t="s">
        <v>10</v>
      </c>
      <c r="C15" s="6" t="s">
        <v>11</v>
      </c>
      <c r="D15" s="6" t="s">
        <v>12</v>
      </c>
      <c r="E15" s="6" t="s">
        <v>13</v>
      </c>
    </row>
    <row r="16" customFormat="false" ht="68.65" hidden="false" customHeight="false" outlineLevel="0" collapsed="false">
      <c r="B16" s="7" t="s">
        <v>14</v>
      </c>
      <c r="C16" s="7" t="s">
        <v>15</v>
      </c>
      <c r="D16" s="7" t="s">
        <v>16</v>
      </c>
      <c r="E16" s="7" t="s">
        <v>17</v>
      </c>
    </row>
    <row r="18" customFormat="false" ht="15" hidden="false" customHeight="false" outlineLevel="0" collapsed="false">
      <c r="B18" s="4" t="s">
        <v>18</v>
      </c>
    </row>
    <row r="19" customFormat="false" ht="35.05" hidden="false" customHeight="false" outlineLevel="0" collapsed="false">
      <c r="B19"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22"/>
    <col collapsed="false" customWidth="true" hidden="false" outlineLevel="0" max="4" min="4" style="0" width="34"/>
    <col collapsed="false" customWidth="true" hidden="false" outlineLevel="0" max="5" min="5" style="0" width="26"/>
    <col collapsed="false" customWidth="true" hidden="false" outlineLevel="0" max="6" min="6" style="0" width="9"/>
    <col collapsed="false" customWidth="true" hidden="false" outlineLevel="0" max="10" min="7" style="0" width="13"/>
  </cols>
  <sheetData>
    <row r="1" customFormat="false" ht="17.35" hidden="false" customHeight="false" outlineLevel="0" collapsed="false">
      <c r="A1" s="8" t="s">
        <v>20</v>
      </c>
      <c r="B1" s="8"/>
      <c r="C1" s="8"/>
      <c r="D1" s="8"/>
      <c r="E1" s="8"/>
      <c r="F1" s="8"/>
      <c r="G1" s="8"/>
      <c r="H1" s="8"/>
      <c r="I1" s="8"/>
      <c r="J1" s="8"/>
    </row>
    <row r="3" customFormat="false" ht="15" hidden="false" customHeight="false" outlineLevel="0" collapsed="false">
      <c r="A3" s="9" t="s">
        <v>21</v>
      </c>
      <c r="B3" s="10" t="n">
        <f aca="false">COUNTA(A7:A30)</f>
        <v>24</v>
      </c>
    </row>
    <row r="4" customFormat="false" ht="15" hidden="false" customHeight="false" outlineLevel="0" collapsed="false">
      <c r="A4" s="9" t="s">
        <v>22</v>
      </c>
      <c r="B4" s="10" t="n">
        <f aca="false">COUNTIF(J7:J30,"Active")</f>
        <v>24</v>
      </c>
    </row>
    <row r="5" customFormat="false" ht="15" hidden="false" customHeight="false" outlineLevel="0" collapsed="false">
      <c r="A5" s="9" t="s">
        <v>23</v>
      </c>
      <c r="B5" s="10" t="n">
        <f aca="false">COUNTIF(J7:J30,"Under Review")</f>
        <v>0</v>
      </c>
    </row>
    <row r="6" customFormat="false" ht="23.85" hidden="false" customHeight="false" outlineLevel="0" collapsed="false">
      <c r="A6" s="11" t="s">
        <v>24</v>
      </c>
      <c r="B6" s="11" t="s">
        <v>25</v>
      </c>
      <c r="C6" s="11" t="s">
        <v>26</v>
      </c>
      <c r="D6" s="11" t="s">
        <v>27</v>
      </c>
      <c r="E6" s="11" t="s">
        <v>28</v>
      </c>
      <c r="F6" s="11" t="s">
        <v>10</v>
      </c>
      <c r="G6" s="11" t="s">
        <v>29</v>
      </c>
      <c r="H6" s="11" t="s">
        <v>30</v>
      </c>
      <c r="I6" s="11" t="s">
        <v>31</v>
      </c>
      <c r="J6" s="11" t="s">
        <v>32</v>
      </c>
    </row>
    <row r="7" customFormat="false" ht="23.85" hidden="false" customHeight="false" outlineLevel="0" collapsed="false">
      <c r="A7" s="12" t="s">
        <v>33</v>
      </c>
      <c r="B7" s="7" t="s">
        <v>34</v>
      </c>
      <c r="C7" s="7" t="s">
        <v>35</v>
      </c>
      <c r="D7" s="7" t="s">
        <v>36</v>
      </c>
      <c r="E7" s="7" t="s">
        <v>37</v>
      </c>
      <c r="F7" s="13" t="s">
        <v>14</v>
      </c>
      <c r="G7" s="14" t="n">
        <v>46291</v>
      </c>
      <c r="H7" s="14" t="n">
        <v>46656</v>
      </c>
      <c r="I7" s="13" t="n">
        <f aca="true">H7-TODAY()</f>
        <v>365</v>
      </c>
      <c r="J7" s="13" t="s">
        <v>22</v>
      </c>
    </row>
    <row r="8" customFormat="false" ht="15" hidden="false" customHeight="false" outlineLevel="0" collapsed="false">
      <c r="A8" s="12" t="s">
        <v>38</v>
      </c>
      <c r="B8" s="7" t="s">
        <v>39</v>
      </c>
      <c r="C8" s="7" t="s">
        <v>35</v>
      </c>
      <c r="D8" s="7" t="s">
        <v>36</v>
      </c>
      <c r="E8" s="7" t="s">
        <v>40</v>
      </c>
      <c r="F8" s="13" t="s">
        <v>14</v>
      </c>
      <c r="G8" s="14" t="n">
        <v>46291</v>
      </c>
      <c r="H8" s="14" t="n">
        <v>46656</v>
      </c>
      <c r="I8" s="13" t="n">
        <f aca="true">H8-TODAY()</f>
        <v>365</v>
      </c>
      <c r="J8" s="13" t="s">
        <v>22</v>
      </c>
    </row>
    <row r="9" customFormat="false" ht="15" hidden="false" customHeight="false" outlineLevel="0" collapsed="false">
      <c r="A9" s="12" t="s">
        <v>41</v>
      </c>
      <c r="B9" s="7" t="s">
        <v>42</v>
      </c>
      <c r="C9" s="7" t="s">
        <v>35</v>
      </c>
      <c r="D9" s="7" t="s">
        <v>36</v>
      </c>
      <c r="E9" s="7" t="s">
        <v>43</v>
      </c>
      <c r="F9" s="13" t="s">
        <v>14</v>
      </c>
      <c r="G9" s="14" t="n">
        <v>46291</v>
      </c>
      <c r="H9" s="14" t="n">
        <v>46656</v>
      </c>
      <c r="I9" s="13" t="n">
        <f aca="true">H9-TODAY()</f>
        <v>365</v>
      </c>
      <c r="J9" s="13" t="s">
        <v>22</v>
      </c>
    </row>
    <row r="10" customFormat="false" ht="23.85" hidden="false" customHeight="false" outlineLevel="0" collapsed="false">
      <c r="A10" s="12" t="s">
        <v>44</v>
      </c>
      <c r="B10" s="7" t="s">
        <v>45</v>
      </c>
      <c r="C10" s="7" t="s">
        <v>35</v>
      </c>
      <c r="D10" s="7" t="s">
        <v>36</v>
      </c>
      <c r="E10" s="7" t="s">
        <v>46</v>
      </c>
      <c r="F10" s="13" t="s">
        <v>14</v>
      </c>
      <c r="G10" s="14" t="n">
        <v>46291</v>
      </c>
      <c r="H10" s="14" t="n">
        <v>46656</v>
      </c>
      <c r="I10" s="13" t="n">
        <f aca="true">H10-TODAY()</f>
        <v>365</v>
      </c>
      <c r="J10" s="13" t="s">
        <v>22</v>
      </c>
    </row>
    <row r="11" customFormat="false" ht="23.85" hidden="false" customHeight="false" outlineLevel="0" collapsed="false">
      <c r="A11" s="12" t="s">
        <v>47</v>
      </c>
      <c r="B11" s="7" t="s">
        <v>48</v>
      </c>
      <c r="C11" s="7" t="s">
        <v>49</v>
      </c>
      <c r="D11" s="7" t="s">
        <v>50</v>
      </c>
      <c r="E11" s="7" t="s">
        <v>51</v>
      </c>
      <c r="F11" s="13" t="s">
        <v>14</v>
      </c>
      <c r="G11" s="14" t="n">
        <v>46291</v>
      </c>
      <c r="H11" s="14" t="n">
        <v>46656</v>
      </c>
      <c r="I11" s="13" t="n">
        <f aca="true">H11-TODAY()</f>
        <v>365</v>
      </c>
      <c r="J11" s="13" t="s">
        <v>22</v>
      </c>
    </row>
    <row r="12" customFormat="false" ht="15" hidden="false" customHeight="false" outlineLevel="0" collapsed="false">
      <c r="A12" s="12" t="s">
        <v>52</v>
      </c>
      <c r="B12" s="7" t="s">
        <v>53</v>
      </c>
      <c r="C12" s="7" t="s">
        <v>49</v>
      </c>
      <c r="D12" s="7" t="s">
        <v>36</v>
      </c>
      <c r="E12" s="7" t="s">
        <v>54</v>
      </c>
      <c r="F12" s="13" t="s">
        <v>14</v>
      </c>
      <c r="G12" s="14" t="n">
        <v>46291</v>
      </c>
      <c r="H12" s="14" t="n">
        <v>46656</v>
      </c>
      <c r="I12" s="13" t="n">
        <f aca="true">H12-TODAY()</f>
        <v>365</v>
      </c>
      <c r="J12" s="13" t="s">
        <v>22</v>
      </c>
    </row>
    <row r="13" customFormat="false" ht="23.85" hidden="false" customHeight="false" outlineLevel="0" collapsed="false">
      <c r="A13" s="12" t="s">
        <v>55</v>
      </c>
      <c r="B13" s="7" t="s">
        <v>56</v>
      </c>
      <c r="C13" s="7" t="s">
        <v>49</v>
      </c>
      <c r="D13" s="7" t="s">
        <v>57</v>
      </c>
      <c r="E13" s="7" t="s">
        <v>51</v>
      </c>
      <c r="F13" s="13" t="s">
        <v>14</v>
      </c>
      <c r="G13" s="14" t="n">
        <v>46291</v>
      </c>
      <c r="H13" s="14" t="n">
        <v>46656</v>
      </c>
      <c r="I13" s="13" t="n">
        <f aca="true">H13-TODAY()</f>
        <v>365</v>
      </c>
      <c r="J13" s="13" t="s">
        <v>22</v>
      </c>
    </row>
    <row r="14" customFormat="false" ht="15" hidden="false" customHeight="false" outlineLevel="0" collapsed="false">
      <c r="A14" s="12" t="s">
        <v>58</v>
      </c>
      <c r="B14" s="7" t="s">
        <v>59</v>
      </c>
      <c r="C14" s="7" t="s">
        <v>49</v>
      </c>
      <c r="D14" s="7" t="s">
        <v>36</v>
      </c>
      <c r="E14" s="7" t="s">
        <v>54</v>
      </c>
      <c r="F14" s="13" t="s">
        <v>14</v>
      </c>
      <c r="G14" s="14" t="n">
        <v>46291</v>
      </c>
      <c r="H14" s="14" t="n">
        <v>46656</v>
      </c>
      <c r="I14" s="13" t="n">
        <f aca="true">H14-TODAY()</f>
        <v>365</v>
      </c>
      <c r="J14" s="13" t="s">
        <v>22</v>
      </c>
    </row>
    <row r="15" customFormat="false" ht="23.85" hidden="false" customHeight="false" outlineLevel="0" collapsed="false">
      <c r="A15" s="12" t="s">
        <v>60</v>
      </c>
      <c r="B15" s="7" t="s">
        <v>61</v>
      </c>
      <c r="C15" s="7" t="s">
        <v>62</v>
      </c>
      <c r="D15" s="7" t="s">
        <v>63</v>
      </c>
      <c r="E15" s="7" t="s">
        <v>64</v>
      </c>
      <c r="F15" s="13" t="s">
        <v>14</v>
      </c>
      <c r="G15" s="14" t="n">
        <v>46291</v>
      </c>
      <c r="H15" s="14" t="n">
        <v>46656</v>
      </c>
      <c r="I15" s="13" t="n">
        <f aca="true">H15-TODAY()</f>
        <v>365</v>
      </c>
      <c r="J15" s="13" t="s">
        <v>22</v>
      </c>
    </row>
    <row r="16" customFormat="false" ht="23.85" hidden="false" customHeight="false" outlineLevel="0" collapsed="false">
      <c r="A16" s="12" t="s">
        <v>65</v>
      </c>
      <c r="B16" s="7" t="s">
        <v>66</v>
      </c>
      <c r="C16" s="7" t="s">
        <v>62</v>
      </c>
      <c r="D16" s="7" t="s">
        <v>36</v>
      </c>
      <c r="E16" s="7" t="s">
        <v>67</v>
      </c>
      <c r="F16" s="13" t="s">
        <v>14</v>
      </c>
      <c r="G16" s="14" t="n">
        <v>46291</v>
      </c>
      <c r="H16" s="14" t="n">
        <v>46656</v>
      </c>
      <c r="I16" s="13" t="n">
        <f aca="true">H16-TODAY()</f>
        <v>365</v>
      </c>
      <c r="J16" s="13" t="s">
        <v>22</v>
      </c>
    </row>
    <row r="17" customFormat="false" ht="23.85" hidden="false" customHeight="false" outlineLevel="0" collapsed="false">
      <c r="A17" s="12" t="s">
        <v>68</v>
      </c>
      <c r="B17" s="7" t="s">
        <v>69</v>
      </c>
      <c r="C17" s="7" t="s">
        <v>62</v>
      </c>
      <c r="D17" s="7" t="s">
        <v>36</v>
      </c>
      <c r="E17" s="7" t="s">
        <v>70</v>
      </c>
      <c r="F17" s="13" t="s">
        <v>14</v>
      </c>
      <c r="G17" s="14" t="n">
        <v>46291</v>
      </c>
      <c r="H17" s="14" t="n">
        <v>46656</v>
      </c>
      <c r="I17" s="13" t="n">
        <f aca="true">H17-TODAY()</f>
        <v>365</v>
      </c>
      <c r="J17" s="13" t="s">
        <v>22</v>
      </c>
    </row>
    <row r="18" customFormat="false" ht="23.85" hidden="false" customHeight="false" outlineLevel="0" collapsed="false">
      <c r="A18" s="12" t="s">
        <v>71</v>
      </c>
      <c r="B18" s="7" t="s">
        <v>72</v>
      </c>
      <c r="C18" s="7" t="s">
        <v>62</v>
      </c>
      <c r="D18" s="7" t="s">
        <v>63</v>
      </c>
      <c r="E18" s="7" t="s">
        <v>70</v>
      </c>
      <c r="F18" s="13" t="s">
        <v>14</v>
      </c>
      <c r="G18" s="14" t="n">
        <v>46291</v>
      </c>
      <c r="H18" s="14" t="n">
        <v>46656</v>
      </c>
      <c r="I18" s="13" t="n">
        <f aca="true">H18-TODAY()</f>
        <v>365</v>
      </c>
      <c r="J18" s="13" t="s">
        <v>22</v>
      </c>
    </row>
    <row r="19" customFormat="false" ht="15" hidden="false" customHeight="false" outlineLevel="0" collapsed="false">
      <c r="A19" s="12" t="s">
        <v>73</v>
      </c>
      <c r="B19" s="7" t="s">
        <v>74</v>
      </c>
      <c r="C19" s="7" t="s">
        <v>75</v>
      </c>
      <c r="D19" s="7" t="s">
        <v>76</v>
      </c>
      <c r="E19" s="7" t="s">
        <v>77</v>
      </c>
      <c r="F19" s="13" t="s">
        <v>14</v>
      </c>
      <c r="G19" s="14" t="n">
        <v>46291</v>
      </c>
      <c r="H19" s="14" t="n">
        <v>46656</v>
      </c>
      <c r="I19" s="13" t="n">
        <f aca="true">H19-TODAY()</f>
        <v>365</v>
      </c>
      <c r="J19" s="13" t="s">
        <v>22</v>
      </c>
    </row>
    <row r="20" customFormat="false" ht="15" hidden="false" customHeight="false" outlineLevel="0" collapsed="false">
      <c r="A20" s="12" t="s">
        <v>78</v>
      </c>
      <c r="B20" s="7" t="s">
        <v>79</v>
      </c>
      <c r="C20" s="7" t="s">
        <v>75</v>
      </c>
      <c r="D20" s="7" t="s">
        <v>80</v>
      </c>
      <c r="E20" s="7" t="s">
        <v>81</v>
      </c>
      <c r="F20" s="13" t="s">
        <v>14</v>
      </c>
      <c r="G20" s="14" t="n">
        <v>46291</v>
      </c>
      <c r="H20" s="14" t="n">
        <v>46656</v>
      </c>
      <c r="I20" s="13" t="n">
        <f aca="true">H20-TODAY()</f>
        <v>365</v>
      </c>
      <c r="J20" s="13" t="s">
        <v>22</v>
      </c>
    </row>
    <row r="21" customFormat="false" ht="15" hidden="false" customHeight="false" outlineLevel="0" collapsed="false">
      <c r="A21" s="12" t="s">
        <v>82</v>
      </c>
      <c r="B21" s="7" t="s">
        <v>83</v>
      </c>
      <c r="C21" s="7" t="s">
        <v>75</v>
      </c>
      <c r="D21" s="7" t="s">
        <v>76</v>
      </c>
      <c r="E21" s="7" t="s">
        <v>84</v>
      </c>
      <c r="F21" s="13" t="s">
        <v>14</v>
      </c>
      <c r="G21" s="14" t="n">
        <v>46291</v>
      </c>
      <c r="H21" s="14" t="n">
        <v>46656</v>
      </c>
      <c r="I21" s="13" t="n">
        <f aca="true">H21-TODAY()</f>
        <v>365</v>
      </c>
      <c r="J21" s="13" t="s">
        <v>22</v>
      </c>
    </row>
    <row r="22" customFormat="false" ht="15" hidden="false" customHeight="false" outlineLevel="0" collapsed="false">
      <c r="A22" s="12" t="s">
        <v>85</v>
      </c>
      <c r="B22" s="7" t="s">
        <v>86</v>
      </c>
      <c r="C22" s="7" t="s">
        <v>75</v>
      </c>
      <c r="D22" s="7" t="s">
        <v>76</v>
      </c>
      <c r="E22" s="7" t="s">
        <v>81</v>
      </c>
      <c r="F22" s="13" t="s">
        <v>14</v>
      </c>
      <c r="G22" s="14" t="n">
        <v>46291</v>
      </c>
      <c r="H22" s="14" t="n">
        <v>46656</v>
      </c>
      <c r="I22" s="13" t="n">
        <f aca="true">H22-TODAY()</f>
        <v>365</v>
      </c>
      <c r="J22" s="13" t="s">
        <v>22</v>
      </c>
    </row>
    <row r="23" customFormat="false" ht="23.85" hidden="false" customHeight="false" outlineLevel="0" collapsed="false">
      <c r="A23" s="12" t="s">
        <v>87</v>
      </c>
      <c r="B23" s="7" t="s">
        <v>88</v>
      </c>
      <c r="C23" s="7" t="s">
        <v>89</v>
      </c>
      <c r="D23" s="7" t="s">
        <v>90</v>
      </c>
      <c r="E23" s="7" t="s">
        <v>91</v>
      </c>
      <c r="F23" s="13" t="s">
        <v>14</v>
      </c>
      <c r="G23" s="14" t="n">
        <v>46291</v>
      </c>
      <c r="H23" s="14" t="n">
        <v>46656</v>
      </c>
      <c r="I23" s="13" t="n">
        <f aca="true">H23-TODAY()</f>
        <v>365</v>
      </c>
      <c r="J23" s="13" t="s">
        <v>22</v>
      </c>
    </row>
    <row r="24" customFormat="false" ht="23.85" hidden="false" customHeight="false" outlineLevel="0" collapsed="false">
      <c r="A24" s="12" t="s">
        <v>92</v>
      </c>
      <c r="B24" s="7" t="s">
        <v>93</v>
      </c>
      <c r="C24" s="7" t="s">
        <v>89</v>
      </c>
      <c r="D24" s="7" t="s">
        <v>90</v>
      </c>
      <c r="E24" s="7" t="s">
        <v>94</v>
      </c>
      <c r="F24" s="13" t="s">
        <v>14</v>
      </c>
      <c r="G24" s="14" t="n">
        <v>46291</v>
      </c>
      <c r="H24" s="14" t="n">
        <v>46656</v>
      </c>
      <c r="I24" s="13" t="n">
        <f aca="true">H24-TODAY()</f>
        <v>365</v>
      </c>
      <c r="J24" s="13" t="s">
        <v>22</v>
      </c>
    </row>
    <row r="25" customFormat="false" ht="23.85" hidden="false" customHeight="false" outlineLevel="0" collapsed="false">
      <c r="A25" s="12" t="s">
        <v>95</v>
      </c>
      <c r="B25" s="7" t="s">
        <v>96</v>
      </c>
      <c r="C25" s="7" t="s">
        <v>89</v>
      </c>
      <c r="D25" s="7" t="s">
        <v>90</v>
      </c>
      <c r="E25" s="7" t="s">
        <v>97</v>
      </c>
      <c r="F25" s="13" t="s">
        <v>14</v>
      </c>
      <c r="G25" s="14" t="n">
        <v>46291</v>
      </c>
      <c r="H25" s="14" t="n">
        <v>46656</v>
      </c>
      <c r="I25" s="13" t="n">
        <f aca="true">H25-TODAY()</f>
        <v>365</v>
      </c>
      <c r="J25" s="13" t="s">
        <v>22</v>
      </c>
    </row>
    <row r="26" customFormat="false" ht="23.85" hidden="false" customHeight="false" outlineLevel="0" collapsed="false">
      <c r="A26" s="12" t="s">
        <v>98</v>
      </c>
      <c r="B26" s="7" t="s">
        <v>99</v>
      </c>
      <c r="C26" s="7" t="s">
        <v>89</v>
      </c>
      <c r="D26" s="7" t="s">
        <v>90</v>
      </c>
      <c r="E26" s="7" t="s">
        <v>100</v>
      </c>
      <c r="F26" s="13" t="s">
        <v>14</v>
      </c>
      <c r="G26" s="14" t="n">
        <v>46291</v>
      </c>
      <c r="H26" s="14" t="n">
        <v>46656</v>
      </c>
      <c r="I26" s="13" t="n">
        <f aca="true">H26-TODAY()</f>
        <v>365</v>
      </c>
      <c r="J26" s="13" t="s">
        <v>22</v>
      </c>
    </row>
    <row r="27" customFormat="false" ht="23.85" hidden="false" customHeight="false" outlineLevel="0" collapsed="false">
      <c r="A27" s="12" t="s">
        <v>101</v>
      </c>
      <c r="B27" s="7" t="s">
        <v>102</v>
      </c>
      <c r="C27" s="7" t="s">
        <v>103</v>
      </c>
      <c r="D27" s="7" t="s">
        <v>104</v>
      </c>
      <c r="E27" s="7" t="s">
        <v>105</v>
      </c>
      <c r="F27" s="13" t="s">
        <v>14</v>
      </c>
      <c r="G27" s="14" t="n">
        <v>46291</v>
      </c>
      <c r="H27" s="14" t="n">
        <v>46656</v>
      </c>
      <c r="I27" s="13" t="n">
        <f aca="true">H27-TODAY()</f>
        <v>365</v>
      </c>
      <c r="J27" s="13" t="s">
        <v>22</v>
      </c>
    </row>
    <row r="28" customFormat="false" ht="23.85" hidden="false" customHeight="false" outlineLevel="0" collapsed="false">
      <c r="A28" s="12" t="s">
        <v>106</v>
      </c>
      <c r="B28" s="7" t="s">
        <v>107</v>
      </c>
      <c r="C28" s="7" t="s">
        <v>103</v>
      </c>
      <c r="D28" s="7" t="s">
        <v>108</v>
      </c>
      <c r="E28" s="7" t="s">
        <v>109</v>
      </c>
      <c r="F28" s="13" t="s">
        <v>14</v>
      </c>
      <c r="G28" s="14" t="n">
        <v>46291</v>
      </c>
      <c r="H28" s="14" t="n">
        <v>46656</v>
      </c>
      <c r="I28" s="13" t="n">
        <f aca="true">H28-TODAY()</f>
        <v>365</v>
      </c>
      <c r="J28" s="13" t="s">
        <v>22</v>
      </c>
    </row>
    <row r="29" customFormat="false" ht="23.85" hidden="false" customHeight="false" outlineLevel="0" collapsed="false">
      <c r="A29" s="12" t="s">
        <v>110</v>
      </c>
      <c r="B29" s="7" t="s">
        <v>111</v>
      </c>
      <c r="C29" s="7" t="s">
        <v>103</v>
      </c>
      <c r="D29" s="7" t="s">
        <v>112</v>
      </c>
      <c r="E29" s="7" t="s">
        <v>113</v>
      </c>
      <c r="F29" s="13" t="s">
        <v>14</v>
      </c>
      <c r="G29" s="14" t="n">
        <v>46291</v>
      </c>
      <c r="H29" s="14" t="n">
        <v>46656</v>
      </c>
      <c r="I29" s="13" t="n">
        <f aca="true">H29-TODAY()</f>
        <v>365</v>
      </c>
      <c r="J29" s="13" t="s">
        <v>22</v>
      </c>
    </row>
    <row r="30" customFormat="false" ht="23.85" hidden="false" customHeight="false" outlineLevel="0" collapsed="false">
      <c r="A30" s="12" t="s">
        <v>114</v>
      </c>
      <c r="B30" s="7" t="s">
        <v>115</v>
      </c>
      <c r="C30" s="7" t="s">
        <v>103</v>
      </c>
      <c r="D30" s="7" t="s">
        <v>36</v>
      </c>
      <c r="E30" s="7" t="s">
        <v>116</v>
      </c>
      <c r="F30" s="13" t="s">
        <v>14</v>
      </c>
      <c r="G30" s="14" t="n">
        <v>46291</v>
      </c>
      <c r="H30" s="14" t="n">
        <v>46656</v>
      </c>
      <c r="I30" s="13" t="n">
        <f aca="true">H30-TODAY()</f>
        <v>365</v>
      </c>
      <c r="J30" s="13" t="s">
        <v>22</v>
      </c>
    </row>
  </sheetData>
  <mergeCells count="1">
    <mergeCell ref="A1:J1"/>
  </mergeCells>
  <dataValidations count="1">
    <dataValidation allowBlank="false" errorStyle="stop" operator="between" showDropDown="false" showErrorMessage="false" showInputMessage="false" sqref="J7:J30" type="list">
      <formula1>"Active,Under Review,Retired"</formula1>
      <formula2>0</formula2>
    </dataValidation>
  </dataValidations>
  <hyperlinks>
    <hyperlink ref="A7" r:id="rId1" location="'ADM'!A1" display="ADM-01"/>
    <hyperlink ref="A8" r:id="rId2" location="'ADM'!A1" display="ADM-02"/>
    <hyperlink ref="A9" r:id="rId3" location="'ADM'!A1" display="ADM-03"/>
    <hyperlink ref="A10" r:id="rId4" location="'ADM'!A1" display="ADM-04"/>
    <hyperlink ref="A11" r:id="rId5" location="'HR'!A1" display="HR-01"/>
    <hyperlink ref="A12" r:id="rId6" location="'HR'!A1" display="HR-02"/>
    <hyperlink ref="A13" r:id="rId7" location="'HR'!A1" display="HR-03"/>
    <hyperlink ref="A14" r:id="rId8" location="'HR'!A1" display="HR-04"/>
    <hyperlink ref="A15" r:id="rId9" location="'FIN'!A1" display="FIN-01"/>
    <hyperlink ref="A16" r:id="rId10" location="'FIN'!A1" display="FIN-02"/>
    <hyperlink ref="A17" r:id="rId11" location="'FIN'!A1" display="FIN-03"/>
    <hyperlink ref="A18" r:id="rId12" location="'FIN'!A1" display="FIN-04"/>
    <hyperlink ref="A19" r:id="rId13" location="'IT'!A1" display="IT-01"/>
    <hyperlink ref="A20" r:id="rId14" location="'IT'!A1" display="IT-02"/>
    <hyperlink ref="A21" r:id="rId15" location="'IT'!A1" display="IT-03"/>
    <hyperlink ref="A22" r:id="rId16" location="'IT'!A1" display="IT-04"/>
    <hyperlink ref="A23" r:id="rId17" location="'HSE'!A1" display="HSE-01"/>
    <hyperlink ref="A24" r:id="rId18" location="'HSE'!A1" display="HSE-02"/>
    <hyperlink ref="A25" r:id="rId19" location="'HSE'!A1" display="HSE-03"/>
    <hyperlink ref="A26" r:id="rId20" location="'HSE'!A1" display="HSE-04"/>
    <hyperlink ref="A27" r:id="rId21" location="'GOV'!A1" display="GOV-01"/>
    <hyperlink ref="A28" r:id="rId22" location="'GOV'!A1" display="GOV-02"/>
    <hyperlink ref="A29" r:id="rId23" location="'GOV'!A1" display="GOV-03"/>
    <hyperlink ref="A30" r:id="rId24" location="'GOV'!A1" display="GOV-0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8"/>
    <col collapsed="false" customWidth="true" hidden="false" outlineLevel="0" max="3" min="3" style="0" width="24"/>
    <col collapsed="false" customWidth="true" hidden="false" outlineLevel="0" max="4" min="4" style="0" width="42"/>
  </cols>
  <sheetData>
    <row r="1" customFormat="false" ht="17.35" hidden="false" customHeight="false" outlineLevel="0" collapsed="false">
      <c r="A1" s="8" t="s">
        <v>117</v>
      </c>
      <c r="B1" s="8"/>
      <c r="C1" s="8"/>
      <c r="D1" s="8"/>
    </row>
    <row r="2" customFormat="false" ht="15" hidden="false" customHeight="false" outlineLevel="0" collapsed="false">
      <c r="A2" s="15" t="s">
        <v>118</v>
      </c>
      <c r="B2" s="15"/>
      <c r="C2" s="15"/>
      <c r="D2" s="15"/>
    </row>
    <row r="4" customFormat="false" ht="15" hidden="false" customHeight="false" outlineLevel="0" collapsed="false">
      <c r="A4" s="16" t="s">
        <v>119</v>
      </c>
      <c r="B4" s="16"/>
      <c r="C4" s="16"/>
      <c r="D4" s="16"/>
    </row>
    <row r="5" customFormat="false" ht="30" hidden="false" customHeight="true" outlineLevel="0" collapsed="false">
      <c r="A5" s="17" t="s">
        <v>3</v>
      </c>
      <c r="B5" s="7" t="s">
        <v>120</v>
      </c>
      <c r="C5" s="7"/>
      <c r="D5" s="7"/>
    </row>
    <row r="6" customFormat="false" ht="25.5" hidden="false" customHeight="true" outlineLevel="0" collapsed="false">
      <c r="A6" s="17" t="s">
        <v>121</v>
      </c>
      <c r="B6" s="7" t="s">
        <v>122</v>
      </c>
      <c r="C6" s="7"/>
      <c r="D6" s="7"/>
    </row>
    <row r="7" customFormat="false" ht="23.85" hidden="false" customHeight="true" outlineLevel="0" collapsed="false">
      <c r="A7" s="17" t="s">
        <v>28</v>
      </c>
      <c r="B7" s="7" t="s">
        <v>37</v>
      </c>
      <c r="C7" s="7"/>
      <c r="D7" s="7"/>
    </row>
    <row r="8" customFormat="false" ht="35.05" hidden="false" customHeight="true" outlineLevel="0" collapsed="false">
      <c r="A8" s="17" t="s">
        <v>27</v>
      </c>
      <c r="B8" s="7" t="s">
        <v>123</v>
      </c>
      <c r="C8" s="7"/>
      <c r="D8" s="7"/>
    </row>
    <row r="9" customFormat="false" ht="15" hidden="false" customHeight="false" outlineLevel="0" collapsed="false">
      <c r="A9" s="6" t="s">
        <v>124</v>
      </c>
      <c r="B9" s="6" t="s">
        <v>125</v>
      </c>
      <c r="C9" s="6" t="s">
        <v>126</v>
      </c>
      <c r="D9" s="6" t="s">
        <v>127</v>
      </c>
    </row>
    <row r="10" customFormat="false" ht="23.85" hidden="false" customHeight="false" outlineLevel="0" collapsed="false">
      <c r="A10" s="13" t="n">
        <v>1</v>
      </c>
      <c r="B10" s="7" t="s">
        <v>128</v>
      </c>
      <c r="C10" s="7" t="s">
        <v>129</v>
      </c>
      <c r="D10" s="7" t="s">
        <v>130</v>
      </c>
    </row>
    <row r="11" customFormat="false" ht="23.85" hidden="false" customHeight="false" outlineLevel="0" collapsed="false">
      <c r="A11" s="13" t="n">
        <v>2</v>
      </c>
      <c r="B11" s="7" t="s">
        <v>131</v>
      </c>
      <c r="C11" s="7" t="s">
        <v>129</v>
      </c>
      <c r="D11" s="7" t="s">
        <v>132</v>
      </c>
    </row>
    <row r="12" customFormat="false" ht="23.85" hidden="false" customHeight="false" outlineLevel="0" collapsed="false">
      <c r="A12" s="13" t="n">
        <v>3</v>
      </c>
      <c r="B12" s="7" t="s">
        <v>133</v>
      </c>
      <c r="C12" s="7" t="s">
        <v>129</v>
      </c>
      <c r="D12" s="7" t="s">
        <v>134</v>
      </c>
    </row>
    <row r="13" customFormat="false" ht="23.85" hidden="false" customHeight="false" outlineLevel="0" collapsed="false">
      <c r="A13" s="13" t="n">
        <v>4</v>
      </c>
      <c r="B13" s="7" t="s">
        <v>135</v>
      </c>
      <c r="C13" s="7" t="s">
        <v>129</v>
      </c>
      <c r="D13" s="7" t="s">
        <v>136</v>
      </c>
    </row>
    <row r="14" customFormat="false" ht="23.85" hidden="false" customHeight="false" outlineLevel="0" collapsed="false">
      <c r="A14" s="13" t="n">
        <v>5</v>
      </c>
      <c r="B14" s="7" t="s">
        <v>137</v>
      </c>
      <c r="C14" s="7" t="s">
        <v>138</v>
      </c>
      <c r="D14" s="7" t="s">
        <v>139</v>
      </c>
    </row>
    <row r="15" customFormat="false" ht="23.85" hidden="false" customHeight="false" outlineLevel="0" collapsed="false">
      <c r="A15" s="13" t="n">
        <v>6</v>
      </c>
      <c r="B15" s="7" t="s">
        <v>140</v>
      </c>
      <c r="C15" s="7" t="s">
        <v>129</v>
      </c>
      <c r="D15" s="7"/>
    </row>
    <row r="16" customFormat="false" ht="46.25" hidden="false" customHeight="true" outlineLevel="0" collapsed="false">
      <c r="A16" s="17" t="s">
        <v>141</v>
      </c>
      <c r="B16" s="7" t="s">
        <v>142</v>
      </c>
      <c r="C16" s="7"/>
      <c r="D16" s="7"/>
    </row>
    <row r="18" customFormat="false" ht="15" hidden="false" customHeight="false" outlineLevel="0" collapsed="false">
      <c r="A18" s="16" t="s">
        <v>143</v>
      </c>
      <c r="B18" s="16"/>
      <c r="C18" s="16"/>
      <c r="D18" s="16"/>
    </row>
    <row r="19" customFormat="false" ht="30" hidden="false" customHeight="true" outlineLevel="0" collapsed="false">
      <c r="A19" s="17" t="s">
        <v>3</v>
      </c>
      <c r="B19" s="7" t="s">
        <v>144</v>
      </c>
      <c r="C19" s="7"/>
      <c r="D19" s="7"/>
    </row>
    <row r="20" customFormat="false" ht="25.5" hidden="false" customHeight="true" outlineLevel="0" collapsed="false">
      <c r="A20" s="17" t="s">
        <v>121</v>
      </c>
      <c r="B20" s="7" t="s">
        <v>145</v>
      </c>
      <c r="C20" s="7"/>
      <c r="D20" s="7"/>
    </row>
    <row r="21" customFormat="false" ht="23.85" hidden="false" customHeight="true" outlineLevel="0" collapsed="false">
      <c r="A21" s="17" t="s">
        <v>28</v>
      </c>
      <c r="B21" s="7" t="s">
        <v>40</v>
      </c>
      <c r="C21" s="7"/>
      <c r="D21" s="7"/>
    </row>
    <row r="22" customFormat="false" ht="35.05" hidden="false" customHeight="true" outlineLevel="0" collapsed="false">
      <c r="A22" s="17" t="s">
        <v>27</v>
      </c>
      <c r="B22" s="7" t="s">
        <v>123</v>
      </c>
      <c r="C22" s="7"/>
      <c r="D22" s="7"/>
    </row>
    <row r="23" customFormat="false" ht="15" hidden="false" customHeight="false" outlineLevel="0" collapsed="false">
      <c r="A23" s="6" t="s">
        <v>124</v>
      </c>
      <c r="B23" s="6" t="s">
        <v>125</v>
      </c>
      <c r="C23" s="6" t="s">
        <v>126</v>
      </c>
      <c r="D23" s="6" t="s">
        <v>127</v>
      </c>
    </row>
    <row r="24" customFormat="false" ht="23.85" hidden="false" customHeight="false" outlineLevel="0" collapsed="false">
      <c r="A24" s="13" t="n">
        <v>1</v>
      </c>
      <c r="B24" s="7" t="s">
        <v>146</v>
      </c>
      <c r="C24" s="7" t="s">
        <v>40</v>
      </c>
      <c r="D24" s="7" t="s">
        <v>147</v>
      </c>
    </row>
    <row r="25" customFormat="false" ht="23.85" hidden="false" customHeight="false" outlineLevel="0" collapsed="false">
      <c r="A25" s="13" t="n">
        <v>2</v>
      </c>
      <c r="B25" s="7" t="s">
        <v>148</v>
      </c>
      <c r="C25" s="7" t="s">
        <v>40</v>
      </c>
      <c r="D25" s="7"/>
    </row>
    <row r="26" customFormat="false" ht="35.05" hidden="false" customHeight="false" outlineLevel="0" collapsed="false">
      <c r="A26" s="13" t="n">
        <v>3</v>
      </c>
      <c r="B26" s="7" t="s">
        <v>149</v>
      </c>
      <c r="C26" s="7" t="s">
        <v>40</v>
      </c>
      <c r="D26" s="7" t="s">
        <v>150</v>
      </c>
    </row>
    <row r="27" customFormat="false" ht="35.05" hidden="false" customHeight="false" outlineLevel="0" collapsed="false">
      <c r="A27" s="13" t="n">
        <v>4</v>
      </c>
      <c r="B27" s="7" t="s">
        <v>151</v>
      </c>
      <c r="C27" s="7" t="s">
        <v>40</v>
      </c>
      <c r="D27" s="7"/>
    </row>
    <row r="28" customFormat="false" ht="23.85" hidden="false" customHeight="false" outlineLevel="0" collapsed="false">
      <c r="A28" s="13" t="n">
        <v>5</v>
      </c>
      <c r="B28" s="7" t="s">
        <v>152</v>
      </c>
      <c r="C28" s="7" t="s">
        <v>40</v>
      </c>
      <c r="D28" s="7" t="s">
        <v>153</v>
      </c>
    </row>
    <row r="29" customFormat="false" ht="46.25" hidden="false" customHeight="true" outlineLevel="0" collapsed="false">
      <c r="A29" s="17" t="s">
        <v>141</v>
      </c>
      <c r="B29" s="7" t="s">
        <v>154</v>
      </c>
      <c r="C29" s="7"/>
      <c r="D29" s="7"/>
    </row>
    <row r="31" customFormat="false" ht="15" hidden="false" customHeight="false" outlineLevel="0" collapsed="false">
      <c r="A31" s="16" t="s">
        <v>155</v>
      </c>
      <c r="B31" s="16"/>
      <c r="C31" s="16"/>
      <c r="D31" s="16"/>
    </row>
    <row r="32" customFormat="false" ht="30" hidden="false" customHeight="true" outlineLevel="0" collapsed="false">
      <c r="A32" s="17" t="s">
        <v>3</v>
      </c>
      <c r="B32" s="7" t="s">
        <v>156</v>
      </c>
      <c r="C32" s="7"/>
      <c r="D32" s="7"/>
    </row>
    <row r="33" customFormat="false" ht="25.5" hidden="false" customHeight="true" outlineLevel="0" collapsed="false">
      <c r="A33" s="17" t="s">
        <v>121</v>
      </c>
      <c r="B33" s="7" t="s">
        <v>157</v>
      </c>
      <c r="C33" s="7"/>
      <c r="D33" s="7"/>
    </row>
    <row r="34" customFormat="false" ht="23.85" hidden="false" customHeight="true" outlineLevel="0" collapsed="false">
      <c r="A34" s="17" t="s">
        <v>28</v>
      </c>
      <c r="B34" s="7" t="s">
        <v>43</v>
      </c>
      <c r="C34" s="7"/>
      <c r="D34" s="7"/>
    </row>
    <row r="35" customFormat="false" ht="35.05" hidden="false" customHeight="true" outlineLevel="0" collapsed="false">
      <c r="A35" s="17" t="s">
        <v>27</v>
      </c>
      <c r="B35" s="7" t="s">
        <v>123</v>
      </c>
      <c r="C35" s="7"/>
      <c r="D35" s="7"/>
    </row>
    <row r="36" customFormat="false" ht="15" hidden="false" customHeight="false" outlineLevel="0" collapsed="false">
      <c r="A36" s="6" t="s">
        <v>124</v>
      </c>
      <c r="B36" s="6" t="s">
        <v>125</v>
      </c>
      <c r="C36" s="6" t="s">
        <v>126</v>
      </c>
      <c r="D36" s="6" t="s">
        <v>127</v>
      </c>
    </row>
    <row r="37" customFormat="false" ht="23.85" hidden="false" customHeight="false" outlineLevel="0" collapsed="false">
      <c r="A37" s="13" t="n">
        <v>1</v>
      </c>
      <c r="B37" s="7" t="s">
        <v>158</v>
      </c>
      <c r="C37" s="7" t="s">
        <v>43</v>
      </c>
      <c r="D37" s="7"/>
    </row>
    <row r="38" customFormat="false" ht="23.85" hidden="false" customHeight="false" outlineLevel="0" collapsed="false">
      <c r="A38" s="13" t="n">
        <v>2</v>
      </c>
      <c r="B38" s="7" t="s">
        <v>159</v>
      </c>
      <c r="C38" s="7" t="s">
        <v>43</v>
      </c>
      <c r="D38" s="7"/>
    </row>
    <row r="39" customFormat="false" ht="23.85" hidden="false" customHeight="false" outlineLevel="0" collapsed="false">
      <c r="A39" s="13" t="n">
        <v>3</v>
      </c>
      <c r="B39" s="7" t="s">
        <v>160</v>
      </c>
      <c r="C39" s="7" t="s">
        <v>43</v>
      </c>
      <c r="D39" s="7"/>
    </row>
    <row r="40" customFormat="false" ht="35.05" hidden="false" customHeight="false" outlineLevel="0" collapsed="false">
      <c r="A40" s="13" t="n">
        <v>4</v>
      </c>
      <c r="B40" s="7" t="s">
        <v>161</v>
      </c>
      <c r="C40" s="7" t="s">
        <v>162</v>
      </c>
      <c r="D40" s="7" t="s">
        <v>163</v>
      </c>
    </row>
    <row r="41" customFormat="false" ht="23.85" hidden="false" customHeight="false" outlineLevel="0" collapsed="false">
      <c r="A41" s="13" t="n">
        <v>5</v>
      </c>
      <c r="B41" s="7" t="s">
        <v>164</v>
      </c>
      <c r="C41" s="7" t="s">
        <v>162</v>
      </c>
      <c r="D41" s="7"/>
    </row>
    <row r="42" customFormat="false" ht="23.85" hidden="false" customHeight="false" outlineLevel="0" collapsed="false">
      <c r="A42" s="13" t="n">
        <v>6</v>
      </c>
      <c r="B42" s="7" t="s">
        <v>165</v>
      </c>
      <c r="C42" s="7" t="s">
        <v>162</v>
      </c>
      <c r="D42" s="7" t="s">
        <v>153</v>
      </c>
    </row>
    <row r="43" customFormat="false" ht="46.25" hidden="false" customHeight="true" outlineLevel="0" collapsed="false">
      <c r="A43" s="17" t="s">
        <v>141</v>
      </c>
      <c r="B43" s="7" t="s">
        <v>166</v>
      </c>
      <c r="C43" s="7"/>
      <c r="D43" s="7"/>
    </row>
    <row r="45" customFormat="false" ht="15" hidden="false" customHeight="false" outlineLevel="0" collapsed="false">
      <c r="A45" s="16" t="s">
        <v>167</v>
      </c>
      <c r="B45" s="16"/>
      <c r="C45" s="16"/>
      <c r="D45" s="16"/>
    </row>
    <row r="46" customFormat="false" ht="30" hidden="false" customHeight="true" outlineLevel="0" collapsed="false">
      <c r="A46" s="17" t="s">
        <v>3</v>
      </c>
      <c r="B46" s="7" t="s">
        <v>168</v>
      </c>
      <c r="C46" s="7"/>
      <c r="D46" s="7"/>
    </row>
    <row r="47" customFormat="false" ht="25.5" hidden="false" customHeight="true" outlineLevel="0" collapsed="false">
      <c r="A47" s="17" t="s">
        <v>121</v>
      </c>
      <c r="B47" s="7" t="s">
        <v>169</v>
      </c>
      <c r="C47" s="7"/>
      <c r="D47" s="7"/>
    </row>
    <row r="48" customFormat="false" ht="23.85" hidden="false" customHeight="true" outlineLevel="0" collapsed="false">
      <c r="A48" s="17" t="s">
        <v>28</v>
      </c>
      <c r="B48" s="7" t="s">
        <v>46</v>
      </c>
      <c r="C48" s="7"/>
      <c r="D48" s="7"/>
    </row>
    <row r="49" customFormat="false" ht="35.05" hidden="false" customHeight="true" outlineLevel="0" collapsed="false">
      <c r="A49" s="17" t="s">
        <v>27</v>
      </c>
      <c r="B49" s="7" t="s">
        <v>123</v>
      </c>
      <c r="C49" s="7"/>
      <c r="D49" s="7"/>
    </row>
    <row r="50" customFormat="false" ht="15" hidden="false" customHeight="false" outlineLevel="0" collapsed="false">
      <c r="A50" s="6" t="s">
        <v>124</v>
      </c>
      <c r="B50" s="6" t="s">
        <v>125</v>
      </c>
      <c r="C50" s="6" t="s">
        <v>126</v>
      </c>
      <c r="D50" s="6" t="s">
        <v>127</v>
      </c>
    </row>
    <row r="51" customFormat="false" ht="23.85" hidden="false" customHeight="false" outlineLevel="0" collapsed="false">
      <c r="A51" s="13" t="n">
        <v>1</v>
      </c>
      <c r="B51" s="7" t="s">
        <v>170</v>
      </c>
      <c r="C51" s="7" t="s">
        <v>171</v>
      </c>
      <c r="D51" s="7"/>
    </row>
    <row r="52" customFormat="false" ht="35.05" hidden="false" customHeight="false" outlineLevel="0" collapsed="false">
      <c r="A52" s="13" t="n">
        <v>2</v>
      </c>
      <c r="B52" s="7" t="s">
        <v>172</v>
      </c>
      <c r="C52" s="7" t="s">
        <v>171</v>
      </c>
      <c r="D52" s="7" t="s">
        <v>173</v>
      </c>
    </row>
    <row r="53" customFormat="false" ht="23.85" hidden="false" customHeight="false" outlineLevel="0" collapsed="false">
      <c r="A53" s="13" t="n">
        <v>3</v>
      </c>
      <c r="B53" s="7" t="s">
        <v>174</v>
      </c>
      <c r="C53" s="7" t="s">
        <v>171</v>
      </c>
      <c r="D53" s="7" t="s">
        <v>175</v>
      </c>
    </row>
    <row r="54" customFormat="false" ht="23.85" hidden="false" customHeight="false" outlineLevel="0" collapsed="false">
      <c r="A54" s="13" t="n">
        <v>4</v>
      </c>
      <c r="B54" s="7" t="s">
        <v>176</v>
      </c>
      <c r="C54" s="7" t="s">
        <v>177</v>
      </c>
      <c r="D54" s="7"/>
    </row>
    <row r="55" customFormat="false" ht="35.05" hidden="false" customHeight="false" outlineLevel="0" collapsed="false">
      <c r="A55" s="13" t="n">
        <v>5</v>
      </c>
      <c r="B55" s="7" t="s">
        <v>178</v>
      </c>
      <c r="C55" s="7" t="s">
        <v>179</v>
      </c>
      <c r="D55" s="7" t="s">
        <v>180</v>
      </c>
    </row>
    <row r="56" customFormat="false" ht="23.85" hidden="false" customHeight="false" outlineLevel="0" collapsed="false">
      <c r="A56" s="13" t="n">
        <v>6</v>
      </c>
      <c r="B56" s="7" t="s">
        <v>181</v>
      </c>
      <c r="C56" s="7" t="s">
        <v>40</v>
      </c>
      <c r="D56" s="7"/>
    </row>
    <row r="57" customFormat="false" ht="46.25" hidden="false" customHeight="true" outlineLevel="0" collapsed="false">
      <c r="A57" s="17" t="s">
        <v>141</v>
      </c>
      <c r="B57" s="7" t="s">
        <v>182</v>
      </c>
      <c r="C57" s="7"/>
      <c r="D57" s="7"/>
    </row>
  </sheetData>
  <mergeCells count="26">
    <mergeCell ref="A1:D1"/>
    <mergeCell ref="A2:D2"/>
    <mergeCell ref="A4:D4"/>
    <mergeCell ref="B5:D5"/>
    <mergeCell ref="B6:D6"/>
    <mergeCell ref="B7:D7"/>
    <mergeCell ref="B8:D8"/>
    <mergeCell ref="B16:D16"/>
    <mergeCell ref="A18:D18"/>
    <mergeCell ref="B19:D19"/>
    <mergeCell ref="B20:D20"/>
    <mergeCell ref="B21:D21"/>
    <mergeCell ref="B22:D22"/>
    <mergeCell ref="B29:D29"/>
    <mergeCell ref="A31:D31"/>
    <mergeCell ref="B32:D32"/>
    <mergeCell ref="B33:D33"/>
    <mergeCell ref="B34:D34"/>
    <mergeCell ref="B35:D35"/>
    <mergeCell ref="B43:D43"/>
    <mergeCell ref="A45:D45"/>
    <mergeCell ref="B46:D46"/>
    <mergeCell ref="B47:D47"/>
    <mergeCell ref="B48:D48"/>
    <mergeCell ref="B49:D49"/>
    <mergeCell ref="B57:D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8"/>
    <col collapsed="false" customWidth="true" hidden="false" outlineLevel="0" max="3" min="3" style="0" width="24"/>
    <col collapsed="false" customWidth="true" hidden="false" outlineLevel="0" max="4" min="4" style="0" width="42"/>
  </cols>
  <sheetData>
    <row r="1" customFormat="false" ht="17.35" hidden="false" customHeight="false" outlineLevel="0" collapsed="false">
      <c r="A1" s="8" t="s">
        <v>183</v>
      </c>
      <c r="B1" s="8"/>
      <c r="C1" s="8"/>
      <c r="D1" s="8"/>
    </row>
    <row r="2" customFormat="false" ht="15" hidden="false" customHeight="false" outlineLevel="0" collapsed="false">
      <c r="A2" s="15" t="s">
        <v>118</v>
      </c>
      <c r="B2" s="15"/>
      <c r="C2" s="15"/>
      <c r="D2" s="15"/>
    </row>
    <row r="4" customFormat="false" ht="15" hidden="false" customHeight="false" outlineLevel="0" collapsed="false">
      <c r="A4" s="16" t="s">
        <v>184</v>
      </c>
      <c r="B4" s="16"/>
      <c r="C4" s="16"/>
      <c r="D4" s="16"/>
    </row>
    <row r="5" customFormat="false" ht="30" hidden="false" customHeight="true" outlineLevel="0" collapsed="false">
      <c r="A5" s="17" t="s">
        <v>3</v>
      </c>
      <c r="B5" s="7" t="s">
        <v>185</v>
      </c>
      <c r="C5" s="7"/>
      <c r="D5" s="7"/>
    </row>
    <row r="6" customFormat="false" ht="25.5" hidden="false" customHeight="true" outlineLevel="0" collapsed="false">
      <c r="A6" s="17" t="s">
        <v>121</v>
      </c>
      <c r="B6" s="7" t="s">
        <v>186</v>
      </c>
      <c r="C6" s="7"/>
      <c r="D6" s="7"/>
    </row>
    <row r="7" customFormat="false" ht="23.85" hidden="false" customHeight="true" outlineLevel="0" collapsed="false">
      <c r="A7" s="17" t="s">
        <v>28</v>
      </c>
      <c r="B7" s="7" t="s">
        <v>51</v>
      </c>
      <c r="C7" s="7"/>
      <c r="D7" s="7"/>
    </row>
    <row r="8" customFormat="false" ht="35.05" hidden="false" customHeight="true" outlineLevel="0" collapsed="false">
      <c r="A8" s="17" t="s">
        <v>27</v>
      </c>
      <c r="B8" s="7" t="s">
        <v>50</v>
      </c>
      <c r="C8" s="7"/>
      <c r="D8" s="7"/>
    </row>
    <row r="9" customFormat="false" ht="15" hidden="false" customHeight="false" outlineLevel="0" collapsed="false">
      <c r="A9" s="6" t="s">
        <v>124</v>
      </c>
      <c r="B9" s="6" t="s">
        <v>125</v>
      </c>
      <c r="C9" s="6" t="s">
        <v>126</v>
      </c>
      <c r="D9" s="6" t="s">
        <v>127</v>
      </c>
    </row>
    <row r="10" customFormat="false" ht="35.05" hidden="false" customHeight="false" outlineLevel="0" collapsed="false">
      <c r="A10" s="13" t="n">
        <v>1</v>
      </c>
      <c r="B10" s="7" t="s">
        <v>187</v>
      </c>
      <c r="C10" s="7" t="s">
        <v>188</v>
      </c>
      <c r="D10" s="7"/>
    </row>
    <row r="11" customFormat="false" ht="23.85" hidden="false" customHeight="false" outlineLevel="0" collapsed="false">
      <c r="A11" s="13" t="n">
        <v>2</v>
      </c>
      <c r="B11" s="7" t="s">
        <v>189</v>
      </c>
      <c r="C11" s="7" t="s">
        <v>188</v>
      </c>
      <c r="D11" s="7" t="s">
        <v>190</v>
      </c>
    </row>
    <row r="12" customFormat="false" ht="23.85" hidden="false" customHeight="false" outlineLevel="0" collapsed="false">
      <c r="A12" s="13" t="n">
        <v>3</v>
      </c>
      <c r="B12" s="7" t="s">
        <v>191</v>
      </c>
      <c r="C12" s="7" t="s">
        <v>192</v>
      </c>
      <c r="D12" s="7" t="s">
        <v>193</v>
      </c>
    </row>
    <row r="13" customFormat="false" ht="23.85" hidden="false" customHeight="false" outlineLevel="0" collapsed="false">
      <c r="A13" s="13" t="n">
        <v>4</v>
      </c>
      <c r="B13" s="7" t="s">
        <v>194</v>
      </c>
      <c r="C13" s="7" t="s">
        <v>188</v>
      </c>
      <c r="D13" s="7"/>
    </row>
    <row r="14" customFormat="false" ht="23.85" hidden="false" customHeight="false" outlineLevel="0" collapsed="false">
      <c r="A14" s="13" t="n">
        <v>5</v>
      </c>
      <c r="B14" s="7" t="s">
        <v>195</v>
      </c>
      <c r="C14" s="7" t="s">
        <v>188</v>
      </c>
      <c r="D14" s="7"/>
    </row>
    <row r="15" customFormat="false" ht="35.05" hidden="false" customHeight="false" outlineLevel="0" collapsed="false">
      <c r="A15" s="13" t="n">
        <v>6</v>
      </c>
      <c r="B15" s="7" t="s">
        <v>196</v>
      </c>
      <c r="C15" s="7" t="s">
        <v>197</v>
      </c>
      <c r="D15" s="7" t="s">
        <v>198</v>
      </c>
    </row>
    <row r="16" customFormat="false" ht="23.85" hidden="false" customHeight="false" outlineLevel="0" collapsed="false">
      <c r="A16" s="13" t="n">
        <v>7</v>
      </c>
      <c r="B16" s="7" t="s">
        <v>199</v>
      </c>
      <c r="C16" s="7" t="s">
        <v>188</v>
      </c>
      <c r="D16" s="7"/>
    </row>
    <row r="17" customFormat="false" ht="46.25" hidden="false" customHeight="true" outlineLevel="0" collapsed="false">
      <c r="A17" s="17" t="s">
        <v>141</v>
      </c>
      <c r="B17" s="7" t="s">
        <v>200</v>
      </c>
      <c r="C17" s="7"/>
      <c r="D17" s="7"/>
    </row>
    <row r="19" customFormat="false" ht="15" hidden="false" customHeight="false" outlineLevel="0" collapsed="false">
      <c r="A19" s="16" t="s">
        <v>201</v>
      </c>
      <c r="B19" s="16"/>
      <c r="C19" s="16"/>
      <c r="D19" s="16"/>
    </row>
    <row r="20" customFormat="false" ht="30" hidden="false" customHeight="true" outlineLevel="0" collapsed="false">
      <c r="A20" s="17" t="s">
        <v>3</v>
      </c>
      <c r="B20" s="7" t="s">
        <v>202</v>
      </c>
      <c r="C20" s="7"/>
      <c r="D20" s="7"/>
    </row>
    <row r="21" customFormat="false" ht="25.5" hidden="false" customHeight="true" outlineLevel="0" collapsed="false">
      <c r="A21" s="17" t="s">
        <v>121</v>
      </c>
      <c r="B21" s="7" t="s">
        <v>203</v>
      </c>
      <c r="C21" s="7"/>
      <c r="D21" s="7"/>
    </row>
    <row r="22" customFormat="false" ht="23.85" hidden="false" customHeight="true" outlineLevel="0" collapsed="false">
      <c r="A22" s="17" t="s">
        <v>28</v>
      </c>
      <c r="B22" s="7" t="s">
        <v>54</v>
      </c>
      <c r="C22" s="7"/>
      <c r="D22" s="7"/>
    </row>
    <row r="23" customFormat="false" ht="35.05" hidden="false" customHeight="true" outlineLevel="0" collapsed="false">
      <c r="A23" s="17" t="s">
        <v>27</v>
      </c>
      <c r="B23" s="7" t="s">
        <v>123</v>
      </c>
      <c r="C23" s="7"/>
      <c r="D23" s="7"/>
    </row>
    <row r="24" customFormat="false" ht="15" hidden="false" customHeight="false" outlineLevel="0" collapsed="false">
      <c r="A24" s="6" t="s">
        <v>124</v>
      </c>
      <c r="B24" s="6" t="s">
        <v>125</v>
      </c>
      <c r="C24" s="6" t="s">
        <v>126</v>
      </c>
      <c r="D24" s="6" t="s">
        <v>127</v>
      </c>
    </row>
    <row r="25" customFormat="false" ht="35.05" hidden="false" customHeight="false" outlineLevel="0" collapsed="false">
      <c r="A25" s="13" t="n">
        <v>1</v>
      </c>
      <c r="B25" s="7" t="s">
        <v>204</v>
      </c>
      <c r="C25" s="7" t="s">
        <v>205</v>
      </c>
      <c r="D25" s="7" t="s">
        <v>206</v>
      </c>
    </row>
    <row r="26" customFormat="false" ht="23.85" hidden="false" customHeight="false" outlineLevel="0" collapsed="false">
      <c r="A26" s="13" t="n">
        <v>2</v>
      </c>
      <c r="B26" s="7" t="s">
        <v>207</v>
      </c>
      <c r="C26" s="7" t="s">
        <v>208</v>
      </c>
      <c r="D26" s="7"/>
    </row>
    <row r="27" customFormat="false" ht="23.85" hidden="false" customHeight="false" outlineLevel="0" collapsed="false">
      <c r="A27" s="13" t="n">
        <v>3</v>
      </c>
      <c r="B27" s="7" t="s">
        <v>209</v>
      </c>
      <c r="C27" s="7" t="s">
        <v>188</v>
      </c>
      <c r="D27" s="7"/>
    </row>
    <row r="28" customFormat="false" ht="23.85" hidden="false" customHeight="false" outlineLevel="0" collapsed="false">
      <c r="A28" s="13" t="n">
        <v>4</v>
      </c>
      <c r="B28" s="7" t="s">
        <v>210</v>
      </c>
      <c r="C28" s="7" t="s">
        <v>205</v>
      </c>
      <c r="D28" s="7"/>
    </row>
    <row r="29" customFormat="false" ht="23.85" hidden="false" customHeight="false" outlineLevel="0" collapsed="false">
      <c r="A29" s="13" t="n">
        <v>5</v>
      </c>
      <c r="B29" s="7" t="s">
        <v>211</v>
      </c>
      <c r="C29" s="7" t="s">
        <v>212</v>
      </c>
      <c r="D29" s="7"/>
    </row>
    <row r="30" customFormat="false" ht="46.25" hidden="false" customHeight="true" outlineLevel="0" collapsed="false">
      <c r="A30" s="17" t="s">
        <v>141</v>
      </c>
      <c r="B30" s="7" t="s">
        <v>213</v>
      </c>
      <c r="C30" s="7"/>
      <c r="D30" s="7"/>
    </row>
    <row r="32" customFormat="false" ht="15" hidden="false" customHeight="false" outlineLevel="0" collapsed="false">
      <c r="A32" s="16" t="s">
        <v>214</v>
      </c>
      <c r="B32" s="16"/>
      <c r="C32" s="16"/>
      <c r="D32" s="16"/>
    </row>
    <row r="33" customFormat="false" ht="30" hidden="false" customHeight="true" outlineLevel="0" collapsed="false">
      <c r="A33" s="17" t="s">
        <v>3</v>
      </c>
      <c r="B33" s="7" t="s">
        <v>215</v>
      </c>
      <c r="C33" s="7"/>
      <c r="D33" s="7"/>
    </row>
    <row r="34" customFormat="false" ht="25.5" hidden="false" customHeight="true" outlineLevel="0" collapsed="false">
      <c r="A34" s="17" t="s">
        <v>121</v>
      </c>
      <c r="B34" s="7" t="s">
        <v>216</v>
      </c>
      <c r="C34" s="7"/>
      <c r="D34" s="7"/>
    </row>
    <row r="35" customFormat="false" ht="23.85" hidden="false" customHeight="true" outlineLevel="0" collapsed="false">
      <c r="A35" s="17" t="s">
        <v>28</v>
      </c>
      <c r="B35" s="7" t="s">
        <v>51</v>
      </c>
      <c r="C35" s="7"/>
      <c r="D35" s="7"/>
    </row>
    <row r="36" customFormat="false" ht="35.05" hidden="false" customHeight="true" outlineLevel="0" collapsed="false">
      <c r="A36" s="17" t="s">
        <v>27</v>
      </c>
      <c r="B36" s="7" t="s">
        <v>57</v>
      </c>
      <c r="C36" s="7"/>
      <c r="D36" s="7"/>
    </row>
    <row r="37" customFormat="false" ht="15" hidden="false" customHeight="false" outlineLevel="0" collapsed="false">
      <c r="A37" s="6" t="s">
        <v>124</v>
      </c>
      <c r="B37" s="6" t="s">
        <v>125</v>
      </c>
      <c r="C37" s="6" t="s">
        <v>126</v>
      </c>
      <c r="D37" s="6" t="s">
        <v>127</v>
      </c>
    </row>
    <row r="38" customFormat="false" ht="23.85" hidden="false" customHeight="false" outlineLevel="0" collapsed="false">
      <c r="A38" s="13" t="n">
        <v>1</v>
      </c>
      <c r="B38" s="7" t="s">
        <v>217</v>
      </c>
      <c r="C38" s="7" t="s">
        <v>188</v>
      </c>
      <c r="D38" s="7"/>
    </row>
    <row r="39" customFormat="false" ht="23.85" hidden="false" customHeight="false" outlineLevel="0" collapsed="false">
      <c r="A39" s="13" t="n">
        <v>2</v>
      </c>
      <c r="B39" s="7" t="s">
        <v>218</v>
      </c>
      <c r="C39" s="7" t="s">
        <v>208</v>
      </c>
      <c r="D39" s="7"/>
    </row>
    <row r="40" customFormat="false" ht="35.05" hidden="false" customHeight="false" outlineLevel="0" collapsed="false">
      <c r="A40" s="13" t="n">
        <v>3</v>
      </c>
      <c r="B40" s="7" t="s">
        <v>219</v>
      </c>
      <c r="C40" s="7" t="s">
        <v>220</v>
      </c>
      <c r="D40" s="7" t="s">
        <v>221</v>
      </c>
    </row>
    <row r="41" customFormat="false" ht="23.85" hidden="false" customHeight="false" outlineLevel="0" collapsed="false">
      <c r="A41" s="13" t="n">
        <v>4</v>
      </c>
      <c r="B41" s="7" t="s">
        <v>222</v>
      </c>
      <c r="C41" s="7" t="s">
        <v>188</v>
      </c>
      <c r="D41" s="7"/>
    </row>
    <row r="42" customFormat="false" ht="23.85" hidden="false" customHeight="false" outlineLevel="0" collapsed="false">
      <c r="A42" s="13" t="n">
        <v>5</v>
      </c>
      <c r="B42" s="7" t="s">
        <v>223</v>
      </c>
      <c r="C42" s="7" t="s">
        <v>224</v>
      </c>
      <c r="D42" s="7"/>
    </row>
    <row r="43" customFormat="false" ht="23.85" hidden="false" customHeight="false" outlineLevel="0" collapsed="false">
      <c r="A43" s="13" t="n">
        <v>6</v>
      </c>
      <c r="B43" s="7" t="s">
        <v>225</v>
      </c>
      <c r="C43" s="7" t="s">
        <v>188</v>
      </c>
      <c r="D43" s="7"/>
    </row>
    <row r="44" customFormat="false" ht="46.25" hidden="false" customHeight="true" outlineLevel="0" collapsed="false">
      <c r="A44" s="17" t="s">
        <v>141</v>
      </c>
      <c r="B44" s="7" t="s">
        <v>226</v>
      </c>
      <c r="C44" s="7"/>
      <c r="D44" s="7"/>
    </row>
    <row r="46" customFormat="false" ht="15" hidden="false" customHeight="false" outlineLevel="0" collapsed="false">
      <c r="A46" s="16" t="s">
        <v>227</v>
      </c>
      <c r="B46" s="16"/>
      <c r="C46" s="16"/>
      <c r="D46" s="16"/>
    </row>
    <row r="47" customFormat="false" ht="30" hidden="false" customHeight="true" outlineLevel="0" collapsed="false">
      <c r="A47" s="17" t="s">
        <v>3</v>
      </c>
      <c r="B47" s="7" t="s">
        <v>228</v>
      </c>
      <c r="C47" s="7"/>
      <c r="D47" s="7"/>
    </row>
    <row r="48" customFormat="false" ht="25.5" hidden="false" customHeight="true" outlineLevel="0" collapsed="false">
      <c r="A48" s="17" t="s">
        <v>121</v>
      </c>
      <c r="B48" s="7" t="s">
        <v>229</v>
      </c>
      <c r="C48" s="7"/>
      <c r="D48" s="7"/>
    </row>
    <row r="49" customFormat="false" ht="23.85" hidden="false" customHeight="true" outlineLevel="0" collapsed="false">
      <c r="A49" s="17" t="s">
        <v>28</v>
      </c>
      <c r="B49" s="7" t="s">
        <v>54</v>
      </c>
      <c r="C49" s="7"/>
      <c r="D49" s="7"/>
    </row>
    <row r="50" customFormat="false" ht="35.05" hidden="false" customHeight="true" outlineLevel="0" collapsed="false">
      <c r="A50" s="17" t="s">
        <v>27</v>
      </c>
      <c r="B50" s="7" t="s">
        <v>123</v>
      </c>
      <c r="C50" s="7"/>
      <c r="D50" s="7"/>
    </row>
    <row r="51" customFormat="false" ht="15" hidden="false" customHeight="false" outlineLevel="0" collapsed="false">
      <c r="A51" s="6" t="s">
        <v>124</v>
      </c>
      <c r="B51" s="6" t="s">
        <v>125</v>
      </c>
      <c r="C51" s="6" t="s">
        <v>126</v>
      </c>
      <c r="D51" s="6" t="s">
        <v>127</v>
      </c>
    </row>
    <row r="52" customFormat="false" ht="23.85" hidden="false" customHeight="false" outlineLevel="0" collapsed="false">
      <c r="A52" s="13" t="n">
        <v>1</v>
      </c>
      <c r="B52" s="7" t="s">
        <v>230</v>
      </c>
      <c r="C52" s="7" t="s">
        <v>188</v>
      </c>
      <c r="D52" s="7"/>
    </row>
    <row r="53" customFormat="false" ht="23.85" hidden="false" customHeight="false" outlineLevel="0" collapsed="false">
      <c r="A53" s="13" t="n">
        <v>2</v>
      </c>
      <c r="B53" s="7" t="s">
        <v>231</v>
      </c>
      <c r="C53" s="7" t="s">
        <v>205</v>
      </c>
      <c r="D53" s="7"/>
    </row>
    <row r="54" customFormat="false" ht="35.05" hidden="false" customHeight="false" outlineLevel="0" collapsed="false">
      <c r="A54" s="13" t="n">
        <v>3</v>
      </c>
      <c r="B54" s="7" t="s">
        <v>232</v>
      </c>
      <c r="C54" s="7" t="s">
        <v>208</v>
      </c>
      <c r="D54" s="7"/>
    </row>
    <row r="55" customFormat="false" ht="23.85" hidden="false" customHeight="false" outlineLevel="0" collapsed="false">
      <c r="A55" s="13" t="n">
        <v>4</v>
      </c>
      <c r="B55" s="7" t="s">
        <v>233</v>
      </c>
      <c r="C55" s="7" t="s">
        <v>234</v>
      </c>
      <c r="D55" s="7"/>
    </row>
    <row r="56" customFormat="false" ht="23.85" hidden="false" customHeight="false" outlineLevel="0" collapsed="false">
      <c r="A56" s="13" t="n">
        <v>5</v>
      </c>
      <c r="B56" s="7" t="s">
        <v>235</v>
      </c>
      <c r="C56" s="7" t="s">
        <v>188</v>
      </c>
      <c r="D56" s="7"/>
    </row>
    <row r="57" customFormat="false" ht="46.25" hidden="false" customHeight="true" outlineLevel="0" collapsed="false">
      <c r="A57" s="17" t="s">
        <v>141</v>
      </c>
      <c r="B57" s="7" t="s">
        <v>236</v>
      </c>
      <c r="C57" s="7"/>
      <c r="D57" s="7"/>
    </row>
  </sheetData>
  <mergeCells count="26">
    <mergeCell ref="A1:D1"/>
    <mergeCell ref="A2:D2"/>
    <mergeCell ref="A4:D4"/>
    <mergeCell ref="B5:D5"/>
    <mergeCell ref="B6:D6"/>
    <mergeCell ref="B7:D7"/>
    <mergeCell ref="B8:D8"/>
    <mergeCell ref="B17:D17"/>
    <mergeCell ref="A19:D19"/>
    <mergeCell ref="B20:D20"/>
    <mergeCell ref="B21:D21"/>
    <mergeCell ref="B22:D22"/>
    <mergeCell ref="B23:D23"/>
    <mergeCell ref="B30:D30"/>
    <mergeCell ref="A32:D32"/>
    <mergeCell ref="B33:D33"/>
    <mergeCell ref="B34:D34"/>
    <mergeCell ref="B35:D35"/>
    <mergeCell ref="B36:D36"/>
    <mergeCell ref="B44:D44"/>
    <mergeCell ref="A46:D46"/>
    <mergeCell ref="B47:D47"/>
    <mergeCell ref="B48:D48"/>
    <mergeCell ref="B49:D49"/>
    <mergeCell ref="B50:D50"/>
    <mergeCell ref="B57:D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8"/>
    <col collapsed="false" customWidth="true" hidden="false" outlineLevel="0" max="3" min="3" style="0" width="24"/>
    <col collapsed="false" customWidth="true" hidden="false" outlineLevel="0" max="4" min="4" style="0" width="42"/>
  </cols>
  <sheetData>
    <row r="1" customFormat="false" ht="17.35" hidden="false" customHeight="false" outlineLevel="0" collapsed="false">
      <c r="A1" s="8" t="s">
        <v>237</v>
      </c>
      <c r="B1" s="8"/>
      <c r="C1" s="8"/>
      <c r="D1" s="8"/>
    </row>
    <row r="2" customFormat="false" ht="15" hidden="false" customHeight="false" outlineLevel="0" collapsed="false">
      <c r="A2" s="15" t="s">
        <v>118</v>
      </c>
      <c r="B2" s="15"/>
      <c r="C2" s="15"/>
      <c r="D2" s="15"/>
    </row>
    <row r="4" customFormat="false" ht="15" hidden="false" customHeight="false" outlineLevel="0" collapsed="false">
      <c r="A4" s="16" t="s">
        <v>238</v>
      </c>
      <c r="B4" s="16"/>
      <c r="C4" s="16"/>
      <c r="D4" s="16"/>
    </row>
    <row r="5" customFormat="false" ht="30" hidden="false" customHeight="true" outlineLevel="0" collapsed="false">
      <c r="A5" s="17" t="s">
        <v>3</v>
      </c>
      <c r="B5" s="7" t="s">
        <v>239</v>
      </c>
      <c r="C5" s="7"/>
      <c r="D5" s="7"/>
    </row>
    <row r="6" customFormat="false" ht="25.5" hidden="false" customHeight="true" outlineLevel="0" collapsed="false">
      <c r="A6" s="17" t="s">
        <v>121</v>
      </c>
      <c r="B6" s="7" t="s">
        <v>240</v>
      </c>
      <c r="C6" s="7"/>
      <c r="D6" s="7"/>
    </row>
    <row r="7" customFormat="false" ht="23.85" hidden="false" customHeight="true" outlineLevel="0" collapsed="false">
      <c r="A7" s="17" t="s">
        <v>28</v>
      </c>
      <c r="B7" s="7" t="s">
        <v>64</v>
      </c>
      <c r="C7" s="7"/>
      <c r="D7" s="7"/>
    </row>
    <row r="8" customFormat="false" ht="35.05" hidden="false" customHeight="true" outlineLevel="0" collapsed="false">
      <c r="A8" s="17" t="s">
        <v>27</v>
      </c>
      <c r="B8" s="7" t="s">
        <v>63</v>
      </c>
      <c r="C8" s="7"/>
      <c r="D8" s="7"/>
    </row>
    <row r="9" customFormat="false" ht="15" hidden="false" customHeight="false" outlineLevel="0" collapsed="false">
      <c r="A9" s="6" t="s">
        <v>124</v>
      </c>
      <c r="B9" s="6" t="s">
        <v>125</v>
      </c>
      <c r="C9" s="6" t="s">
        <v>126</v>
      </c>
      <c r="D9" s="6" t="s">
        <v>127</v>
      </c>
    </row>
    <row r="10" customFormat="false" ht="23.85" hidden="false" customHeight="false" outlineLevel="0" collapsed="false">
      <c r="A10" s="13" t="n">
        <v>1</v>
      </c>
      <c r="B10" s="7" t="s">
        <v>241</v>
      </c>
      <c r="C10" s="7" t="s">
        <v>242</v>
      </c>
      <c r="D10" s="7"/>
    </row>
    <row r="11" customFormat="false" ht="35.05" hidden="false" customHeight="false" outlineLevel="0" collapsed="false">
      <c r="A11" s="13" t="n">
        <v>2</v>
      </c>
      <c r="B11" s="7" t="s">
        <v>243</v>
      </c>
      <c r="C11" s="7" t="s">
        <v>244</v>
      </c>
      <c r="D11" s="7" t="s">
        <v>245</v>
      </c>
    </row>
    <row r="12" customFormat="false" ht="23.85" hidden="false" customHeight="false" outlineLevel="0" collapsed="false">
      <c r="A12" s="13" t="n">
        <v>3</v>
      </c>
      <c r="B12" s="7" t="s">
        <v>246</v>
      </c>
      <c r="C12" s="7" t="s">
        <v>242</v>
      </c>
      <c r="D12" s="7" t="s">
        <v>247</v>
      </c>
    </row>
    <row r="13" customFormat="false" ht="23.85" hidden="false" customHeight="false" outlineLevel="0" collapsed="false">
      <c r="A13" s="13" t="n">
        <v>4</v>
      </c>
      <c r="B13" s="7" t="s">
        <v>248</v>
      </c>
      <c r="C13" s="7" t="s">
        <v>249</v>
      </c>
      <c r="D13" s="7" t="s">
        <v>250</v>
      </c>
    </row>
    <row r="14" customFormat="false" ht="23.85" hidden="false" customHeight="false" outlineLevel="0" collapsed="false">
      <c r="A14" s="13" t="n">
        <v>5</v>
      </c>
      <c r="B14" s="7" t="s">
        <v>251</v>
      </c>
      <c r="C14" s="7" t="s">
        <v>70</v>
      </c>
      <c r="D14" s="7"/>
    </row>
    <row r="15" customFormat="false" ht="23.85" hidden="false" customHeight="false" outlineLevel="0" collapsed="false">
      <c r="A15" s="13" t="n">
        <v>6</v>
      </c>
      <c r="B15" s="7" t="s">
        <v>252</v>
      </c>
      <c r="C15" s="7" t="s">
        <v>242</v>
      </c>
      <c r="D15" s="7" t="s">
        <v>253</v>
      </c>
    </row>
    <row r="16" customFormat="false" ht="46.25" hidden="false" customHeight="true" outlineLevel="0" collapsed="false">
      <c r="A16" s="17" t="s">
        <v>141</v>
      </c>
      <c r="B16" s="7" t="s">
        <v>254</v>
      </c>
      <c r="C16" s="7"/>
      <c r="D16" s="7"/>
    </row>
    <row r="18" customFormat="false" ht="15" hidden="false" customHeight="false" outlineLevel="0" collapsed="false">
      <c r="A18" s="16" t="s">
        <v>255</v>
      </c>
      <c r="B18" s="16"/>
      <c r="C18" s="16"/>
      <c r="D18" s="16"/>
    </row>
    <row r="19" customFormat="false" ht="30" hidden="false" customHeight="true" outlineLevel="0" collapsed="false">
      <c r="A19" s="17" t="s">
        <v>3</v>
      </c>
      <c r="B19" s="7" t="s">
        <v>256</v>
      </c>
      <c r="C19" s="7"/>
      <c r="D19" s="7"/>
    </row>
    <row r="20" customFormat="false" ht="25.5" hidden="false" customHeight="true" outlineLevel="0" collapsed="false">
      <c r="A20" s="17" t="s">
        <v>121</v>
      </c>
      <c r="B20" s="7" t="s">
        <v>257</v>
      </c>
      <c r="C20" s="7"/>
      <c r="D20" s="7"/>
    </row>
    <row r="21" customFormat="false" ht="23.85" hidden="false" customHeight="true" outlineLevel="0" collapsed="false">
      <c r="A21" s="17" t="s">
        <v>28</v>
      </c>
      <c r="B21" s="7" t="s">
        <v>67</v>
      </c>
      <c r="C21" s="7"/>
      <c r="D21" s="7"/>
    </row>
    <row r="22" customFormat="false" ht="35.05" hidden="false" customHeight="true" outlineLevel="0" collapsed="false">
      <c r="A22" s="17" t="s">
        <v>27</v>
      </c>
      <c r="B22" s="7" t="s">
        <v>123</v>
      </c>
      <c r="C22" s="7"/>
      <c r="D22" s="7"/>
    </row>
    <row r="23" customFormat="false" ht="15" hidden="false" customHeight="false" outlineLevel="0" collapsed="false">
      <c r="A23" s="6" t="s">
        <v>124</v>
      </c>
      <c r="B23" s="6" t="s">
        <v>125</v>
      </c>
      <c r="C23" s="6" t="s">
        <v>126</v>
      </c>
      <c r="D23" s="6" t="s">
        <v>127</v>
      </c>
    </row>
    <row r="24" customFormat="false" ht="23.85" hidden="false" customHeight="false" outlineLevel="0" collapsed="false">
      <c r="A24" s="13" t="n">
        <v>1</v>
      </c>
      <c r="B24" s="7" t="s">
        <v>258</v>
      </c>
      <c r="C24" s="7" t="s">
        <v>70</v>
      </c>
      <c r="D24" s="7"/>
    </row>
    <row r="25" customFormat="false" ht="35.05" hidden="false" customHeight="false" outlineLevel="0" collapsed="false">
      <c r="A25" s="13" t="n">
        <v>2</v>
      </c>
      <c r="B25" s="7" t="s">
        <v>259</v>
      </c>
      <c r="C25" s="7" t="s">
        <v>242</v>
      </c>
      <c r="D25" s="7" t="s">
        <v>260</v>
      </c>
    </row>
    <row r="26" customFormat="false" ht="23.85" hidden="false" customHeight="false" outlineLevel="0" collapsed="false">
      <c r="A26" s="13" t="n">
        <v>3</v>
      </c>
      <c r="B26" s="7" t="s">
        <v>261</v>
      </c>
      <c r="C26" s="7" t="s">
        <v>262</v>
      </c>
      <c r="D26" s="7"/>
    </row>
    <row r="27" customFormat="false" ht="23.85" hidden="false" customHeight="false" outlineLevel="0" collapsed="false">
      <c r="A27" s="13" t="n">
        <v>4</v>
      </c>
      <c r="B27" s="7" t="s">
        <v>263</v>
      </c>
      <c r="C27" s="7" t="s">
        <v>262</v>
      </c>
      <c r="D27" s="7"/>
    </row>
    <row r="28" customFormat="false" ht="23.85" hidden="false" customHeight="false" outlineLevel="0" collapsed="false">
      <c r="A28" s="13" t="n">
        <v>5</v>
      </c>
      <c r="B28" s="7" t="s">
        <v>264</v>
      </c>
      <c r="C28" s="7" t="s">
        <v>70</v>
      </c>
      <c r="D28" s="7"/>
    </row>
    <row r="29" customFormat="false" ht="46.25" hidden="false" customHeight="true" outlineLevel="0" collapsed="false">
      <c r="A29" s="17" t="s">
        <v>141</v>
      </c>
      <c r="B29" s="7" t="s">
        <v>265</v>
      </c>
      <c r="C29" s="7"/>
      <c r="D29" s="7"/>
    </row>
    <row r="31" customFormat="false" ht="15" hidden="false" customHeight="false" outlineLevel="0" collapsed="false">
      <c r="A31" s="16" t="s">
        <v>266</v>
      </c>
      <c r="B31" s="16"/>
      <c r="C31" s="16"/>
      <c r="D31" s="16"/>
    </row>
    <row r="32" customFormat="false" ht="30" hidden="false" customHeight="true" outlineLevel="0" collapsed="false">
      <c r="A32" s="17" t="s">
        <v>3</v>
      </c>
      <c r="B32" s="7" t="s">
        <v>267</v>
      </c>
      <c r="C32" s="7"/>
      <c r="D32" s="7"/>
    </row>
    <row r="33" customFormat="false" ht="25.5" hidden="false" customHeight="true" outlineLevel="0" collapsed="false">
      <c r="A33" s="17" t="s">
        <v>121</v>
      </c>
      <c r="B33" s="7" t="s">
        <v>268</v>
      </c>
      <c r="C33" s="7"/>
      <c r="D33" s="7"/>
    </row>
    <row r="34" customFormat="false" ht="23.85" hidden="false" customHeight="true" outlineLevel="0" collapsed="false">
      <c r="A34" s="17" t="s">
        <v>28</v>
      </c>
      <c r="B34" s="7" t="s">
        <v>70</v>
      </c>
      <c r="C34" s="7"/>
      <c r="D34" s="7"/>
    </row>
    <row r="35" customFormat="false" ht="35.05" hidden="false" customHeight="true" outlineLevel="0" collapsed="false">
      <c r="A35" s="17" t="s">
        <v>27</v>
      </c>
      <c r="B35" s="7" t="s">
        <v>123</v>
      </c>
      <c r="C35" s="7"/>
      <c r="D35" s="7"/>
    </row>
    <row r="36" customFormat="false" ht="15" hidden="false" customHeight="false" outlineLevel="0" collapsed="false">
      <c r="A36" s="6" t="s">
        <v>124</v>
      </c>
      <c r="B36" s="6" t="s">
        <v>125</v>
      </c>
      <c r="C36" s="6" t="s">
        <v>126</v>
      </c>
      <c r="D36" s="6" t="s">
        <v>127</v>
      </c>
    </row>
    <row r="37" customFormat="false" ht="35.05" hidden="false" customHeight="false" outlineLevel="0" collapsed="false">
      <c r="A37" s="13" t="n">
        <v>1</v>
      </c>
      <c r="B37" s="7" t="s">
        <v>269</v>
      </c>
      <c r="C37" s="7" t="s">
        <v>205</v>
      </c>
      <c r="D37" s="7"/>
    </row>
    <row r="38" customFormat="false" ht="23.85" hidden="false" customHeight="false" outlineLevel="0" collapsed="false">
      <c r="A38" s="13" t="n">
        <v>2</v>
      </c>
      <c r="B38" s="7" t="s">
        <v>270</v>
      </c>
      <c r="C38" s="7" t="s">
        <v>208</v>
      </c>
      <c r="D38" s="7"/>
    </row>
    <row r="39" customFormat="false" ht="23.85" hidden="false" customHeight="false" outlineLevel="0" collapsed="false">
      <c r="A39" s="13" t="n">
        <v>3</v>
      </c>
      <c r="B39" s="7" t="s">
        <v>271</v>
      </c>
      <c r="C39" s="7" t="s">
        <v>70</v>
      </c>
      <c r="D39" s="7"/>
    </row>
    <row r="40" customFormat="false" ht="35.05" hidden="false" customHeight="false" outlineLevel="0" collapsed="false">
      <c r="A40" s="13" t="n">
        <v>4</v>
      </c>
      <c r="B40" s="7" t="s">
        <v>272</v>
      </c>
      <c r="C40" s="7" t="s">
        <v>70</v>
      </c>
      <c r="D40" s="7" t="s">
        <v>273</v>
      </c>
    </row>
    <row r="41" customFormat="false" ht="23.85" hidden="false" customHeight="false" outlineLevel="0" collapsed="false">
      <c r="A41" s="13" t="n">
        <v>5</v>
      </c>
      <c r="B41" s="7" t="s">
        <v>274</v>
      </c>
      <c r="C41" s="7" t="s">
        <v>70</v>
      </c>
      <c r="D41" s="7"/>
    </row>
    <row r="42" customFormat="false" ht="46.25" hidden="false" customHeight="true" outlineLevel="0" collapsed="false">
      <c r="A42" s="17" t="s">
        <v>141</v>
      </c>
      <c r="B42" s="7" t="s">
        <v>275</v>
      </c>
      <c r="C42" s="7"/>
      <c r="D42" s="7"/>
    </row>
    <row r="44" customFormat="false" ht="15" hidden="false" customHeight="false" outlineLevel="0" collapsed="false">
      <c r="A44" s="16" t="s">
        <v>276</v>
      </c>
      <c r="B44" s="16"/>
      <c r="C44" s="16"/>
      <c r="D44" s="16"/>
    </row>
    <row r="45" customFormat="false" ht="30" hidden="false" customHeight="true" outlineLevel="0" collapsed="false">
      <c r="A45" s="17" t="s">
        <v>3</v>
      </c>
      <c r="B45" s="7" t="s">
        <v>277</v>
      </c>
      <c r="C45" s="7"/>
      <c r="D45" s="7"/>
    </row>
    <row r="46" customFormat="false" ht="25.5" hidden="false" customHeight="true" outlineLevel="0" collapsed="false">
      <c r="A46" s="17" t="s">
        <v>121</v>
      </c>
      <c r="B46" s="7" t="s">
        <v>278</v>
      </c>
      <c r="C46" s="7"/>
      <c r="D46" s="7"/>
    </row>
    <row r="47" customFormat="false" ht="23.85" hidden="false" customHeight="true" outlineLevel="0" collapsed="false">
      <c r="A47" s="17" t="s">
        <v>28</v>
      </c>
      <c r="B47" s="7" t="s">
        <v>70</v>
      </c>
      <c r="C47" s="7"/>
      <c r="D47" s="7"/>
    </row>
    <row r="48" customFormat="false" ht="35.05" hidden="false" customHeight="true" outlineLevel="0" collapsed="false">
      <c r="A48" s="17" t="s">
        <v>27</v>
      </c>
      <c r="B48" s="7" t="s">
        <v>63</v>
      </c>
      <c r="C48" s="7"/>
      <c r="D48" s="7"/>
    </row>
    <row r="49" customFormat="false" ht="15" hidden="false" customHeight="false" outlineLevel="0" collapsed="false">
      <c r="A49" s="6" t="s">
        <v>124</v>
      </c>
      <c r="B49" s="6" t="s">
        <v>125</v>
      </c>
      <c r="C49" s="6" t="s">
        <v>126</v>
      </c>
      <c r="D49" s="6" t="s">
        <v>127</v>
      </c>
    </row>
    <row r="50" customFormat="false" ht="23.85" hidden="false" customHeight="false" outlineLevel="0" collapsed="false">
      <c r="A50" s="13" t="n">
        <v>1</v>
      </c>
      <c r="B50" s="7" t="s">
        <v>279</v>
      </c>
      <c r="C50" s="7" t="s">
        <v>70</v>
      </c>
      <c r="D50" s="7" t="s">
        <v>280</v>
      </c>
    </row>
    <row r="51" customFormat="false" ht="23.85" hidden="false" customHeight="false" outlineLevel="0" collapsed="false">
      <c r="A51" s="13" t="n">
        <v>2</v>
      </c>
      <c r="B51" s="7" t="s">
        <v>281</v>
      </c>
      <c r="C51" s="7" t="s">
        <v>177</v>
      </c>
      <c r="D51" s="7"/>
    </row>
    <row r="52" customFormat="false" ht="35.05" hidden="false" customHeight="false" outlineLevel="0" collapsed="false">
      <c r="A52" s="13" t="n">
        <v>3</v>
      </c>
      <c r="B52" s="7" t="s">
        <v>282</v>
      </c>
      <c r="C52" s="7" t="s">
        <v>70</v>
      </c>
      <c r="D52" s="7" t="s">
        <v>283</v>
      </c>
    </row>
    <row r="53" customFormat="false" ht="23.85" hidden="false" customHeight="false" outlineLevel="0" collapsed="false">
      <c r="A53" s="13" t="n">
        <v>4</v>
      </c>
      <c r="B53" s="7" t="s">
        <v>284</v>
      </c>
      <c r="C53" s="7" t="s">
        <v>70</v>
      </c>
      <c r="D53" s="7"/>
    </row>
    <row r="54" customFormat="false" ht="23.85" hidden="false" customHeight="false" outlineLevel="0" collapsed="false">
      <c r="A54" s="13" t="n">
        <v>5</v>
      </c>
      <c r="B54" s="7" t="s">
        <v>285</v>
      </c>
      <c r="C54" s="7" t="s">
        <v>70</v>
      </c>
      <c r="D54" s="7" t="s">
        <v>286</v>
      </c>
    </row>
    <row r="55" customFormat="false" ht="46.25" hidden="false" customHeight="true" outlineLevel="0" collapsed="false">
      <c r="A55" s="17" t="s">
        <v>141</v>
      </c>
      <c r="B55" s="7" t="s">
        <v>287</v>
      </c>
      <c r="C55" s="7"/>
      <c r="D55" s="7"/>
    </row>
  </sheetData>
  <mergeCells count="26">
    <mergeCell ref="A1:D1"/>
    <mergeCell ref="A2:D2"/>
    <mergeCell ref="A4:D4"/>
    <mergeCell ref="B5:D5"/>
    <mergeCell ref="B6:D6"/>
    <mergeCell ref="B7:D7"/>
    <mergeCell ref="B8:D8"/>
    <mergeCell ref="B16:D16"/>
    <mergeCell ref="A18:D18"/>
    <mergeCell ref="B19:D19"/>
    <mergeCell ref="B20:D20"/>
    <mergeCell ref="B21:D21"/>
    <mergeCell ref="B22:D22"/>
    <mergeCell ref="B29:D29"/>
    <mergeCell ref="A31:D31"/>
    <mergeCell ref="B32:D32"/>
    <mergeCell ref="B33:D33"/>
    <mergeCell ref="B34:D34"/>
    <mergeCell ref="B35:D35"/>
    <mergeCell ref="B42:D42"/>
    <mergeCell ref="A44:D44"/>
    <mergeCell ref="B45:D45"/>
    <mergeCell ref="B46:D46"/>
    <mergeCell ref="B47:D47"/>
    <mergeCell ref="B48:D48"/>
    <mergeCell ref="B55:D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8"/>
    <col collapsed="false" customWidth="true" hidden="false" outlineLevel="0" max="3" min="3" style="0" width="24"/>
    <col collapsed="false" customWidth="true" hidden="false" outlineLevel="0" max="4" min="4" style="0" width="42"/>
  </cols>
  <sheetData>
    <row r="1" customFormat="false" ht="17.35" hidden="false" customHeight="false" outlineLevel="0" collapsed="false">
      <c r="A1" s="8" t="s">
        <v>288</v>
      </c>
      <c r="B1" s="8"/>
      <c r="C1" s="8"/>
      <c r="D1" s="8"/>
    </row>
    <row r="2" customFormat="false" ht="15" hidden="false" customHeight="false" outlineLevel="0" collapsed="false">
      <c r="A2" s="15" t="s">
        <v>118</v>
      </c>
      <c r="B2" s="15"/>
      <c r="C2" s="15"/>
      <c r="D2" s="15"/>
    </row>
    <row r="4" customFormat="false" ht="15" hidden="false" customHeight="false" outlineLevel="0" collapsed="false">
      <c r="A4" s="16" t="s">
        <v>289</v>
      </c>
      <c r="B4" s="16"/>
      <c r="C4" s="16"/>
      <c r="D4" s="16"/>
    </row>
    <row r="5" customFormat="false" ht="30" hidden="false" customHeight="true" outlineLevel="0" collapsed="false">
      <c r="A5" s="17" t="s">
        <v>3</v>
      </c>
      <c r="B5" s="7" t="s">
        <v>290</v>
      </c>
      <c r="C5" s="7"/>
      <c r="D5" s="7"/>
    </row>
    <row r="6" customFormat="false" ht="25.5" hidden="false" customHeight="true" outlineLevel="0" collapsed="false">
      <c r="A6" s="17" t="s">
        <v>121</v>
      </c>
      <c r="B6" s="7" t="s">
        <v>291</v>
      </c>
      <c r="C6" s="7"/>
      <c r="D6" s="7"/>
    </row>
    <row r="7" customFormat="false" ht="23.85" hidden="false" customHeight="true" outlineLevel="0" collapsed="false">
      <c r="A7" s="17" t="s">
        <v>28</v>
      </c>
      <c r="B7" s="7" t="s">
        <v>77</v>
      </c>
      <c r="C7" s="7"/>
      <c r="D7" s="7"/>
    </row>
    <row r="8" customFormat="false" ht="35.05" hidden="false" customHeight="true" outlineLevel="0" collapsed="false">
      <c r="A8" s="17" t="s">
        <v>27</v>
      </c>
      <c r="B8" s="7" t="s">
        <v>76</v>
      </c>
      <c r="C8" s="7"/>
      <c r="D8" s="7"/>
    </row>
    <row r="9" customFormat="false" ht="15" hidden="false" customHeight="false" outlineLevel="0" collapsed="false">
      <c r="A9" s="6" t="s">
        <v>124</v>
      </c>
      <c r="B9" s="6" t="s">
        <v>125</v>
      </c>
      <c r="C9" s="6" t="s">
        <v>126</v>
      </c>
      <c r="D9" s="6" t="s">
        <v>127</v>
      </c>
    </row>
    <row r="10" customFormat="false" ht="23.85" hidden="false" customHeight="false" outlineLevel="0" collapsed="false">
      <c r="A10" s="13" t="n">
        <v>1</v>
      </c>
      <c r="B10" s="7" t="s">
        <v>292</v>
      </c>
      <c r="C10" s="7" t="s">
        <v>188</v>
      </c>
      <c r="D10" s="7"/>
    </row>
    <row r="11" customFormat="false" ht="23.85" hidden="false" customHeight="false" outlineLevel="0" collapsed="false">
      <c r="A11" s="13" t="n">
        <v>2</v>
      </c>
      <c r="B11" s="7" t="s">
        <v>293</v>
      </c>
      <c r="C11" s="7" t="s">
        <v>81</v>
      </c>
      <c r="D11" s="7" t="s">
        <v>294</v>
      </c>
    </row>
    <row r="12" customFormat="false" ht="23.85" hidden="false" customHeight="false" outlineLevel="0" collapsed="false">
      <c r="A12" s="13" t="n">
        <v>3</v>
      </c>
      <c r="B12" s="7" t="s">
        <v>295</v>
      </c>
      <c r="C12" s="7" t="s">
        <v>81</v>
      </c>
      <c r="D12" s="7"/>
    </row>
    <row r="13" customFormat="false" ht="35.05" hidden="false" customHeight="false" outlineLevel="0" collapsed="false">
      <c r="A13" s="13" t="n">
        <v>4</v>
      </c>
      <c r="B13" s="7" t="s">
        <v>296</v>
      </c>
      <c r="C13" s="7" t="s">
        <v>297</v>
      </c>
      <c r="D13" s="7" t="s">
        <v>298</v>
      </c>
    </row>
    <row r="14" customFormat="false" ht="23.85" hidden="false" customHeight="false" outlineLevel="0" collapsed="false">
      <c r="A14" s="13" t="n">
        <v>5</v>
      </c>
      <c r="B14" s="7" t="s">
        <v>299</v>
      </c>
      <c r="C14" s="7" t="s">
        <v>81</v>
      </c>
      <c r="D14" s="7" t="s">
        <v>300</v>
      </c>
    </row>
    <row r="15" customFormat="false" ht="46.25" hidden="false" customHeight="true" outlineLevel="0" collapsed="false">
      <c r="A15" s="17" t="s">
        <v>141</v>
      </c>
      <c r="B15" s="7" t="s">
        <v>301</v>
      </c>
      <c r="C15" s="7"/>
      <c r="D15" s="7"/>
    </row>
    <row r="17" customFormat="false" ht="15" hidden="false" customHeight="false" outlineLevel="0" collapsed="false">
      <c r="A17" s="16" t="s">
        <v>302</v>
      </c>
      <c r="B17" s="16"/>
      <c r="C17" s="16"/>
      <c r="D17" s="16"/>
    </row>
    <row r="18" customFormat="false" ht="30" hidden="false" customHeight="true" outlineLevel="0" collapsed="false">
      <c r="A18" s="17" t="s">
        <v>3</v>
      </c>
      <c r="B18" s="7" t="s">
        <v>303</v>
      </c>
      <c r="C18" s="7"/>
      <c r="D18" s="7"/>
    </row>
    <row r="19" customFormat="false" ht="25.5" hidden="false" customHeight="true" outlineLevel="0" collapsed="false">
      <c r="A19" s="17" t="s">
        <v>121</v>
      </c>
      <c r="B19" s="7" t="s">
        <v>304</v>
      </c>
      <c r="C19" s="7"/>
      <c r="D19" s="7"/>
    </row>
    <row r="20" customFormat="false" ht="23.85" hidden="false" customHeight="true" outlineLevel="0" collapsed="false">
      <c r="A20" s="17" t="s">
        <v>28</v>
      </c>
      <c r="B20" s="7" t="s">
        <v>81</v>
      </c>
      <c r="C20" s="7"/>
      <c r="D20" s="7"/>
    </row>
    <row r="21" customFormat="false" ht="35.05" hidden="false" customHeight="true" outlineLevel="0" collapsed="false">
      <c r="A21" s="17" t="s">
        <v>27</v>
      </c>
      <c r="B21" s="7" t="s">
        <v>80</v>
      </c>
      <c r="C21" s="7"/>
      <c r="D21" s="7"/>
    </row>
    <row r="22" customFormat="false" ht="15" hidden="false" customHeight="false" outlineLevel="0" collapsed="false">
      <c r="A22" s="6" t="s">
        <v>124</v>
      </c>
      <c r="B22" s="6" t="s">
        <v>125</v>
      </c>
      <c r="C22" s="6" t="s">
        <v>126</v>
      </c>
      <c r="D22" s="6" t="s">
        <v>127</v>
      </c>
    </row>
    <row r="23" customFormat="false" ht="23.85" hidden="false" customHeight="false" outlineLevel="0" collapsed="false">
      <c r="A23" s="13" t="n">
        <v>1</v>
      </c>
      <c r="B23" s="7" t="s">
        <v>305</v>
      </c>
      <c r="C23" s="7" t="s">
        <v>81</v>
      </c>
      <c r="D23" s="7"/>
    </row>
    <row r="24" customFormat="false" ht="23.85" hidden="false" customHeight="false" outlineLevel="0" collapsed="false">
      <c r="A24" s="13" t="n">
        <v>2</v>
      </c>
      <c r="B24" s="7" t="s">
        <v>306</v>
      </c>
      <c r="C24" s="7" t="s">
        <v>81</v>
      </c>
      <c r="D24" s="7"/>
    </row>
    <row r="25" customFormat="false" ht="23.85" hidden="false" customHeight="false" outlineLevel="0" collapsed="false">
      <c r="A25" s="13" t="n">
        <v>3</v>
      </c>
      <c r="B25" s="7" t="s">
        <v>307</v>
      </c>
      <c r="C25" s="7" t="s">
        <v>81</v>
      </c>
      <c r="D25" s="7" t="s">
        <v>308</v>
      </c>
    </row>
    <row r="26" customFormat="false" ht="23.85" hidden="false" customHeight="false" outlineLevel="0" collapsed="false">
      <c r="A26" s="13" t="n">
        <v>4</v>
      </c>
      <c r="B26" s="7" t="s">
        <v>309</v>
      </c>
      <c r="C26" s="7" t="s">
        <v>81</v>
      </c>
      <c r="D26" s="7"/>
    </row>
    <row r="27" customFormat="false" ht="23.85" hidden="false" customHeight="false" outlineLevel="0" collapsed="false">
      <c r="A27" s="13" t="n">
        <v>5</v>
      </c>
      <c r="B27" s="7" t="s">
        <v>310</v>
      </c>
      <c r="C27" s="7" t="s">
        <v>81</v>
      </c>
      <c r="D27" s="7" t="s">
        <v>311</v>
      </c>
    </row>
    <row r="28" customFormat="false" ht="46.25" hidden="false" customHeight="true" outlineLevel="0" collapsed="false">
      <c r="A28" s="17" t="s">
        <v>141</v>
      </c>
      <c r="B28" s="7" t="s">
        <v>312</v>
      </c>
      <c r="C28" s="7"/>
      <c r="D28" s="7"/>
    </row>
    <row r="30" customFormat="false" ht="15" hidden="false" customHeight="false" outlineLevel="0" collapsed="false">
      <c r="A30" s="16" t="s">
        <v>313</v>
      </c>
      <c r="B30" s="16"/>
      <c r="C30" s="16"/>
      <c r="D30" s="16"/>
    </row>
    <row r="31" customFormat="false" ht="30" hidden="false" customHeight="true" outlineLevel="0" collapsed="false">
      <c r="A31" s="17" t="s">
        <v>3</v>
      </c>
      <c r="B31" s="7" t="s">
        <v>314</v>
      </c>
      <c r="C31" s="7"/>
      <c r="D31" s="7"/>
    </row>
    <row r="32" customFormat="false" ht="25.5" hidden="false" customHeight="true" outlineLevel="0" collapsed="false">
      <c r="A32" s="17" t="s">
        <v>121</v>
      </c>
      <c r="B32" s="7" t="s">
        <v>315</v>
      </c>
      <c r="C32" s="7"/>
      <c r="D32" s="7"/>
    </row>
    <row r="33" customFormat="false" ht="23.85" hidden="false" customHeight="true" outlineLevel="0" collapsed="false">
      <c r="A33" s="17" t="s">
        <v>28</v>
      </c>
      <c r="B33" s="7" t="s">
        <v>84</v>
      </c>
      <c r="C33" s="7"/>
      <c r="D33" s="7"/>
    </row>
    <row r="34" customFormat="false" ht="35.05" hidden="false" customHeight="true" outlineLevel="0" collapsed="false">
      <c r="A34" s="17" t="s">
        <v>27</v>
      </c>
      <c r="B34" s="7" t="s">
        <v>76</v>
      </c>
      <c r="C34" s="7"/>
      <c r="D34" s="7"/>
    </row>
    <row r="35" customFormat="false" ht="15" hidden="false" customHeight="false" outlineLevel="0" collapsed="false">
      <c r="A35" s="6" t="s">
        <v>124</v>
      </c>
      <c r="B35" s="6" t="s">
        <v>125</v>
      </c>
      <c r="C35" s="6" t="s">
        <v>126</v>
      </c>
      <c r="D35" s="6" t="s">
        <v>127</v>
      </c>
    </row>
    <row r="36" customFormat="false" ht="46.25" hidden="false" customHeight="false" outlineLevel="0" collapsed="false">
      <c r="A36" s="13" t="n">
        <v>1</v>
      </c>
      <c r="B36" s="7" t="s">
        <v>316</v>
      </c>
      <c r="C36" s="7" t="s">
        <v>317</v>
      </c>
      <c r="D36" s="7" t="s">
        <v>318</v>
      </c>
    </row>
    <row r="37" customFormat="false" ht="35.05" hidden="false" customHeight="false" outlineLevel="0" collapsed="false">
      <c r="A37" s="13" t="n">
        <v>2</v>
      </c>
      <c r="B37" s="7" t="s">
        <v>319</v>
      </c>
      <c r="C37" s="7" t="s">
        <v>81</v>
      </c>
      <c r="D37" s="7"/>
    </row>
    <row r="38" customFormat="false" ht="35.05" hidden="false" customHeight="false" outlineLevel="0" collapsed="false">
      <c r="A38" s="13" t="n">
        <v>3</v>
      </c>
      <c r="B38" s="7" t="s">
        <v>320</v>
      </c>
      <c r="C38" s="7" t="s">
        <v>84</v>
      </c>
      <c r="D38" s="7"/>
    </row>
    <row r="39" customFormat="false" ht="57.45" hidden="false" customHeight="false" outlineLevel="0" collapsed="false">
      <c r="A39" s="13" t="n">
        <v>4</v>
      </c>
      <c r="B39" s="7" t="s">
        <v>321</v>
      </c>
      <c r="C39" s="7" t="s">
        <v>17</v>
      </c>
      <c r="D39" s="7" t="s">
        <v>322</v>
      </c>
    </row>
    <row r="40" customFormat="false" ht="23.85" hidden="false" customHeight="false" outlineLevel="0" collapsed="false">
      <c r="A40" s="13" t="n">
        <v>5</v>
      </c>
      <c r="B40" s="7" t="s">
        <v>323</v>
      </c>
      <c r="C40" s="7" t="s">
        <v>81</v>
      </c>
      <c r="D40" s="7"/>
    </row>
    <row r="41" customFormat="false" ht="23.85" hidden="false" customHeight="false" outlineLevel="0" collapsed="false">
      <c r="A41" s="13" t="n">
        <v>6</v>
      </c>
      <c r="B41" s="7" t="s">
        <v>324</v>
      </c>
      <c r="C41" s="7" t="s">
        <v>84</v>
      </c>
      <c r="D41" s="7"/>
    </row>
    <row r="42" customFormat="false" ht="46.25" hidden="false" customHeight="true" outlineLevel="0" collapsed="false">
      <c r="A42" s="17" t="s">
        <v>141</v>
      </c>
      <c r="B42" s="7" t="s">
        <v>325</v>
      </c>
      <c r="C42" s="7"/>
      <c r="D42" s="7"/>
    </row>
    <row r="44" customFormat="false" ht="15" hidden="false" customHeight="false" outlineLevel="0" collapsed="false">
      <c r="A44" s="16" t="s">
        <v>326</v>
      </c>
      <c r="B44" s="16"/>
      <c r="C44" s="16"/>
      <c r="D44" s="16"/>
    </row>
    <row r="45" customFormat="false" ht="30" hidden="false" customHeight="true" outlineLevel="0" collapsed="false">
      <c r="A45" s="17" t="s">
        <v>3</v>
      </c>
      <c r="B45" s="7" t="s">
        <v>327</v>
      </c>
      <c r="C45" s="7"/>
      <c r="D45" s="7"/>
    </row>
    <row r="46" customFormat="false" ht="25.5" hidden="false" customHeight="true" outlineLevel="0" collapsed="false">
      <c r="A46" s="17" t="s">
        <v>121</v>
      </c>
      <c r="B46" s="7" t="s">
        <v>328</v>
      </c>
      <c r="C46" s="7"/>
      <c r="D46" s="7"/>
    </row>
    <row r="47" customFormat="false" ht="23.85" hidden="false" customHeight="true" outlineLevel="0" collapsed="false">
      <c r="A47" s="17" t="s">
        <v>28</v>
      </c>
      <c r="B47" s="7" t="s">
        <v>81</v>
      </c>
      <c r="C47" s="7"/>
      <c r="D47" s="7"/>
    </row>
    <row r="48" customFormat="false" ht="35.05" hidden="false" customHeight="true" outlineLevel="0" collapsed="false">
      <c r="A48" s="17" t="s">
        <v>27</v>
      </c>
      <c r="B48" s="7" t="s">
        <v>76</v>
      </c>
      <c r="C48" s="7"/>
      <c r="D48" s="7"/>
    </row>
    <row r="49" customFormat="false" ht="15" hidden="false" customHeight="false" outlineLevel="0" collapsed="false">
      <c r="A49" s="6" t="s">
        <v>124</v>
      </c>
      <c r="B49" s="6" t="s">
        <v>125</v>
      </c>
      <c r="C49" s="6" t="s">
        <v>126</v>
      </c>
      <c r="D49" s="6" t="s">
        <v>127</v>
      </c>
    </row>
    <row r="50" customFormat="false" ht="23.85" hidden="false" customHeight="false" outlineLevel="0" collapsed="false">
      <c r="A50" s="13" t="n">
        <v>1</v>
      </c>
      <c r="B50" s="7" t="s">
        <v>329</v>
      </c>
      <c r="C50" s="7" t="s">
        <v>205</v>
      </c>
      <c r="D50" s="7"/>
    </row>
    <row r="51" customFormat="false" ht="23.85" hidden="false" customHeight="false" outlineLevel="0" collapsed="false">
      <c r="A51" s="13" t="n">
        <v>2</v>
      </c>
      <c r="B51" s="7" t="s">
        <v>330</v>
      </c>
      <c r="C51" s="7" t="s">
        <v>331</v>
      </c>
      <c r="D51" s="7"/>
    </row>
    <row r="52" customFormat="false" ht="23.85" hidden="false" customHeight="false" outlineLevel="0" collapsed="false">
      <c r="A52" s="13" t="n">
        <v>3</v>
      </c>
      <c r="B52" s="7" t="s">
        <v>332</v>
      </c>
      <c r="C52" s="7" t="s">
        <v>205</v>
      </c>
      <c r="D52" s="7"/>
    </row>
    <row r="53" customFormat="false" ht="23.85" hidden="false" customHeight="false" outlineLevel="0" collapsed="false">
      <c r="A53" s="13" t="n">
        <v>4</v>
      </c>
      <c r="B53" s="7" t="s">
        <v>333</v>
      </c>
      <c r="C53" s="7" t="s">
        <v>205</v>
      </c>
      <c r="D53" s="7" t="s">
        <v>334</v>
      </c>
    </row>
    <row r="54" customFormat="false" ht="23.85" hidden="false" customHeight="false" outlineLevel="0" collapsed="false">
      <c r="A54" s="13" t="n">
        <v>5</v>
      </c>
      <c r="B54" s="7" t="s">
        <v>335</v>
      </c>
      <c r="C54" s="7" t="s">
        <v>81</v>
      </c>
      <c r="D54" s="7" t="s">
        <v>336</v>
      </c>
    </row>
    <row r="55" customFormat="false" ht="46.25" hidden="false" customHeight="true" outlineLevel="0" collapsed="false">
      <c r="A55" s="17" t="s">
        <v>141</v>
      </c>
      <c r="B55" s="7" t="s">
        <v>337</v>
      </c>
      <c r="C55" s="7"/>
      <c r="D55" s="7"/>
    </row>
  </sheetData>
  <mergeCells count="26">
    <mergeCell ref="A1:D1"/>
    <mergeCell ref="A2:D2"/>
    <mergeCell ref="A4:D4"/>
    <mergeCell ref="B5:D5"/>
    <mergeCell ref="B6:D6"/>
    <mergeCell ref="B7:D7"/>
    <mergeCell ref="B8:D8"/>
    <mergeCell ref="B15:D15"/>
    <mergeCell ref="A17:D17"/>
    <mergeCell ref="B18:D18"/>
    <mergeCell ref="B19:D19"/>
    <mergeCell ref="B20:D20"/>
    <mergeCell ref="B21:D21"/>
    <mergeCell ref="B28:D28"/>
    <mergeCell ref="A30:D30"/>
    <mergeCell ref="B31:D31"/>
    <mergeCell ref="B32:D32"/>
    <mergeCell ref="B33:D33"/>
    <mergeCell ref="B34:D34"/>
    <mergeCell ref="B42:D42"/>
    <mergeCell ref="A44:D44"/>
    <mergeCell ref="B45:D45"/>
    <mergeCell ref="B46:D46"/>
    <mergeCell ref="B47:D47"/>
    <mergeCell ref="B48:D48"/>
    <mergeCell ref="B55:D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8"/>
    <col collapsed="false" customWidth="true" hidden="false" outlineLevel="0" max="3" min="3" style="0" width="24"/>
    <col collapsed="false" customWidth="true" hidden="false" outlineLevel="0" max="4" min="4" style="0" width="42"/>
  </cols>
  <sheetData>
    <row r="1" customFormat="false" ht="17.35" hidden="false" customHeight="false" outlineLevel="0" collapsed="false">
      <c r="A1" s="8" t="s">
        <v>338</v>
      </c>
      <c r="B1" s="8"/>
      <c r="C1" s="8"/>
      <c r="D1" s="8"/>
    </row>
    <row r="2" customFormat="false" ht="15" hidden="false" customHeight="false" outlineLevel="0" collapsed="false">
      <c r="A2" s="15" t="s">
        <v>118</v>
      </c>
      <c r="B2" s="15"/>
      <c r="C2" s="15"/>
      <c r="D2" s="15"/>
    </row>
    <row r="4" customFormat="false" ht="15" hidden="false" customHeight="false" outlineLevel="0" collapsed="false">
      <c r="A4" s="16" t="s">
        <v>339</v>
      </c>
      <c r="B4" s="16"/>
      <c r="C4" s="16"/>
      <c r="D4" s="16"/>
    </row>
    <row r="5" customFormat="false" ht="30" hidden="false" customHeight="true" outlineLevel="0" collapsed="false">
      <c r="A5" s="17" t="s">
        <v>3</v>
      </c>
      <c r="B5" s="7" t="s">
        <v>340</v>
      </c>
      <c r="C5" s="7"/>
      <c r="D5" s="7"/>
    </row>
    <row r="6" customFormat="false" ht="25.5" hidden="false" customHeight="true" outlineLevel="0" collapsed="false">
      <c r="A6" s="17" t="s">
        <v>121</v>
      </c>
      <c r="B6" s="7" t="s">
        <v>341</v>
      </c>
      <c r="C6" s="7"/>
      <c r="D6" s="7"/>
    </row>
    <row r="7" customFormat="false" ht="23.85" hidden="false" customHeight="true" outlineLevel="0" collapsed="false">
      <c r="A7" s="17" t="s">
        <v>28</v>
      </c>
      <c r="B7" s="7" t="s">
        <v>91</v>
      </c>
      <c r="C7" s="7"/>
      <c r="D7" s="7"/>
    </row>
    <row r="8" customFormat="false" ht="35.05" hidden="false" customHeight="true" outlineLevel="0" collapsed="false">
      <c r="A8" s="17" t="s">
        <v>27</v>
      </c>
      <c r="B8" s="7" t="s">
        <v>90</v>
      </c>
      <c r="C8" s="7"/>
      <c r="D8" s="7"/>
    </row>
    <row r="9" customFormat="false" ht="15" hidden="false" customHeight="false" outlineLevel="0" collapsed="false">
      <c r="A9" s="6" t="s">
        <v>124</v>
      </c>
      <c r="B9" s="6" t="s">
        <v>125</v>
      </c>
      <c r="C9" s="6" t="s">
        <v>126</v>
      </c>
      <c r="D9" s="6" t="s">
        <v>127</v>
      </c>
    </row>
    <row r="10" customFormat="false" ht="23.85" hidden="false" customHeight="false" outlineLevel="0" collapsed="false">
      <c r="A10" s="13" t="n">
        <v>1</v>
      </c>
      <c r="B10" s="7" t="s">
        <v>342</v>
      </c>
      <c r="C10" s="7" t="s">
        <v>343</v>
      </c>
      <c r="D10" s="7" t="s">
        <v>344</v>
      </c>
    </row>
    <row r="11" customFormat="false" ht="23.85" hidden="false" customHeight="false" outlineLevel="0" collapsed="false">
      <c r="A11" s="13" t="n">
        <v>2</v>
      </c>
      <c r="B11" s="7" t="s">
        <v>345</v>
      </c>
      <c r="C11" s="7" t="s">
        <v>317</v>
      </c>
      <c r="D11" s="7"/>
    </row>
    <row r="12" customFormat="false" ht="23.85" hidden="false" customHeight="false" outlineLevel="0" collapsed="false">
      <c r="A12" s="13" t="n">
        <v>3</v>
      </c>
      <c r="B12" s="7" t="s">
        <v>346</v>
      </c>
      <c r="C12" s="7" t="s">
        <v>208</v>
      </c>
      <c r="D12" s="7"/>
    </row>
    <row r="13" customFormat="false" ht="23.85" hidden="false" customHeight="false" outlineLevel="0" collapsed="false">
      <c r="A13" s="13" t="n">
        <v>4</v>
      </c>
      <c r="B13" s="7" t="s">
        <v>347</v>
      </c>
      <c r="C13" s="7" t="s">
        <v>208</v>
      </c>
      <c r="D13" s="7"/>
    </row>
    <row r="14" customFormat="false" ht="23.85" hidden="false" customHeight="false" outlineLevel="0" collapsed="false">
      <c r="A14" s="13" t="n">
        <v>5</v>
      </c>
      <c r="B14" s="7" t="s">
        <v>348</v>
      </c>
      <c r="C14" s="7" t="s">
        <v>100</v>
      </c>
      <c r="D14" s="7"/>
    </row>
    <row r="15" customFormat="false" ht="23.85" hidden="false" customHeight="false" outlineLevel="0" collapsed="false">
      <c r="A15" s="13" t="n">
        <v>6</v>
      </c>
      <c r="B15" s="7" t="s">
        <v>349</v>
      </c>
      <c r="C15" s="7" t="s">
        <v>350</v>
      </c>
      <c r="D15" s="7"/>
    </row>
    <row r="16" customFormat="false" ht="46.25" hidden="false" customHeight="true" outlineLevel="0" collapsed="false">
      <c r="A16" s="17" t="s">
        <v>141</v>
      </c>
      <c r="B16" s="7" t="s">
        <v>351</v>
      </c>
      <c r="C16" s="7"/>
      <c r="D16" s="7"/>
    </row>
    <row r="18" customFormat="false" ht="15" hidden="false" customHeight="false" outlineLevel="0" collapsed="false">
      <c r="A18" s="16" t="s">
        <v>352</v>
      </c>
      <c r="B18" s="16"/>
      <c r="C18" s="16"/>
      <c r="D18" s="16"/>
    </row>
    <row r="19" customFormat="false" ht="30" hidden="false" customHeight="true" outlineLevel="0" collapsed="false">
      <c r="A19" s="17" t="s">
        <v>3</v>
      </c>
      <c r="B19" s="7" t="s">
        <v>353</v>
      </c>
      <c r="C19" s="7"/>
      <c r="D19" s="7"/>
    </row>
    <row r="20" customFormat="false" ht="25.5" hidden="false" customHeight="true" outlineLevel="0" collapsed="false">
      <c r="A20" s="17" t="s">
        <v>121</v>
      </c>
      <c r="B20" s="7" t="s">
        <v>354</v>
      </c>
      <c r="C20" s="7"/>
      <c r="D20" s="7"/>
    </row>
    <row r="21" customFormat="false" ht="23.85" hidden="false" customHeight="true" outlineLevel="0" collapsed="false">
      <c r="A21" s="17" t="s">
        <v>28</v>
      </c>
      <c r="B21" s="7" t="s">
        <v>94</v>
      </c>
      <c r="C21" s="7"/>
      <c r="D21" s="7"/>
    </row>
    <row r="22" customFormat="false" ht="35.05" hidden="false" customHeight="true" outlineLevel="0" collapsed="false">
      <c r="A22" s="17" t="s">
        <v>27</v>
      </c>
      <c r="B22" s="7" t="s">
        <v>90</v>
      </c>
      <c r="C22" s="7"/>
      <c r="D22" s="7"/>
    </row>
    <row r="23" customFormat="false" ht="15" hidden="false" customHeight="false" outlineLevel="0" collapsed="false">
      <c r="A23" s="6" t="s">
        <v>124</v>
      </c>
      <c r="B23" s="6" t="s">
        <v>125</v>
      </c>
      <c r="C23" s="6" t="s">
        <v>126</v>
      </c>
      <c r="D23" s="6" t="s">
        <v>127</v>
      </c>
    </row>
    <row r="24" customFormat="false" ht="35.05" hidden="false" customHeight="false" outlineLevel="0" collapsed="false">
      <c r="A24" s="13" t="n">
        <v>1</v>
      </c>
      <c r="B24" s="7" t="s">
        <v>355</v>
      </c>
      <c r="C24" s="7" t="s">
        <v>208</v>
      </c>
      <c r="D24" s="7" t="s">
        <v>356</v>
      </c>
    </row>
    <row r="25" customFormat="false" ht="35.05" hidden="false" customHeight="false" outlineLevel="0" collapsed="false">
      <c r="A25" s="13" t="n">
        <v>2</v>
      </c>
      <c r="B25" s="7" t="s">
        <v>357</v>
      </c>
      <c r="C25" s="7" t="s">
        <v>358</v>
      </c>
      <c r="D25" s="7"/>
    </row>
    <row r="26" customFormat="false" ht="35.05" hidden="false" customHeight="false" outlineLevel="0" collapsed="false">
      <c r="A26" s="13" t="n">
        <v>3</v>
      </c>
      <c r="B26" s="7" t="s">
        <v>359</v>
      </c>
      <c r="C26" s="7" t="s">
        <v>360</v>
      </c>
      <c r="D26" s="7" t="s">
        <v>361</v>
      </c>
    </row>
    <row r="27" customFormat="false" ht="23.85" hidden="false" customHeight="false" outlineLevel="0" collapsed="false">
      <c r="A27" s="13" t="n">
        <v>4</v>
      </c>
      <c r="B27" s="7" t="s">
        <v>362</v>
      </c>
      <c r="C27" s="7" t="s">
        <v>360</v>
      </c>
      <c r="D27" s="7"/>
    </row>
    <row r="28" customFormat="false" ht="23.85" hidden="false" customHeight="false" outlineLevel="0" collapsed="false">
      <c r="A28" s="13" t="n">
        <v>5</v>
      </c>
      <c r="B28" s="7" t="s">
        <v>363</v>
      </c>
      <c r="C28" s="7" t="s">
        <v>317</v>
      </c>
      <c r="D28" s="7" t="s">
        <v>364</v>
      </c>
    </row>
    <row r="29" customFormat="false" ht="46.25" hidden="false" customHeight="true" outlineLevel="0" collapsed="false">
      <c r="A29" s="17" t="s">
        <v>141</v>
      </c>
      <c r="B29" s="7" t="s">
        <v>365</v>
      </c>
      <c r="C29" s="7"/>
      <c r="D29" s="7"/>
    </row>
    <row r="31" customFormat="false" ht="15" hidden="false" customHeight="false" outlineLevel="0" collapsed="false">
      <c r="A31" s="16" t="s">
        <v>366</v>
      </c>
      <c r="B31" s="16"/>
      <c r="C31" s="16"/>
      <c r="D31" s="16"/>
    </row>
    <row r="32" customFormat="false" ht="30" hidden="false" customHeight="true" outlineLevel="0" collapsed="false">
      <c r="A32" s="17" t="s">
        <v>3</v>
      </c>
      <c r="B32" s="7" t="s">
        <v>367</v>
      </c>
      <c r="C32" s="7"/>
      <c r="D32" s="7"/>
    </row>
    <row r="33" customFormat="false" ht="25.5" hidden="false" customHeight="true" outlineLevel="0" collapsed="false">
      <c r="A33" s="17" t="s">
        <v>121</v>
      </c>
      <c r="B33" s="7" t="s">
        <v>368</v>
      </c>
      <c r="C33" s="7"/>
      <c r="D33" s="7"/>
    </row>
    <row r="34" customFormat="false" ht="23.85" hidden="false" customHeight="true" outlineLevel="0" collapsed="false">
      <c r="A34" s="17" t="s">
        <v>28</v>
      </c>
      <c r="B34" s="7" t="s">
        <v>97</v>
      </c>
      <c r="C34" s="7"/>
      <c r="D34" s="7"/>
    </row>
    <row r="35" customFormat="false" ht="35.05" hidden="false" customHeight="true" outlineLevel="0" collapsed="false">
      <c r="A35" s="17" t="s">
        <v>27</v>
      </c>
      <c r="B35" s="7" t="s">
        <v>90</v>
      </c>
      <c r="C35" s="7"/>
      <c r="D35" s="7"/>
    </row>
    <row r="36" customFormat="false" ht="15" hidden="false" customHeight="false" outlineLevel="0" collapsed="false">
      <c r="A36" s="6" t="s">
        <v>124</v>
      </c>
      <c r="B36" s="6" t="s">
        <v>125</v>
      </c>
      <c r="C36" s="6" t="s">
        <v>126</v>
      </c>
      <c r="D36" s="6" t="s">
        <v>127</v>
      </c>
    </row>
    <row r="37" customFormat="false" ht="35.05" hidden="false" customHeight="false" outlineLevel="0" collapsed="false">
      <c r="A37" s="13" t="n">
        <v>1</v>
      </c>
      <c r="B37" s="7" t="s">
        <v>369</v>
      </c>
      <c r="C37" s="7" t="s">
        <v>317</v>
      </c>
      <c r="D37" s="7" t="s">
        <v>370</v>
      </c>
    </row>
    <row r="38" customFormat="false" ht="23.85" hidden="false" customHeight="false" outlineLevel="0" collapsed="false">
      <c r="A38" s="13" t="n">
        <v>2</v>
      </c>
      <c r="B38" s="7" t="s">
        <v>371</v>
      </c>
      <c r="C38" s="7" t="s">
        <v>372</v>
      </c>
      <c r="D38" s="7"/>
    </row>
    <row r="39" customFormat="false" ht="23.85" hidden="false" customHeight="false" outlineLevel="0" collapsed="false">
      <c r="A39" s="13" t="n">
        <v>3</v>
      </c>
      <c r="B39" s="7" t="s">
        <v>373</v>
      </c>
      <c r="C39" s="7" t="s">
        <v>317</v>
      </c>
      <c r="D39" s="7"/>
    </row>
    <row r="40" customFormat="false" ht="35.05" hidden="false" customHeight="false" outlineLevel="0" collapsed="false">
      <c r="A40" s="13" t="n">
        <v>4</v>
      </c>
      <c r="B40" s="7" t="s">
        <v>374</v>
      </c>
      <c r="C40" s="7" t="s">
        <v>375</v>
      </c>
      <c r="D40" s="7"/>
    </row>
    <row r="41" customFormat="false" ht="23.85" hidden="false" customHeight="false" outlineLevel="0" collapsed="false">
      <c r="A41" s="13" t="n">
        <v>5</v>
      </c>
      <c r="B41" s="7" t="s">
        <v>376</v>
      </c>
      <c r="C41" s="7" t="s">
        <v>317</v>
      </c>
      <c r="D41" s="7"/>
    </row>
    <row r="42" customFormat="false" ht="23.85" hidden="false" customHeight="false" outlineLevel="0" collapsed="false">
      <c r="A42" s="13" t="n">
        <v>6</v>
      </c>
      <c r="B42" s="7" t="s">
        <v>377</v>
      </c>
      <c r="C42" s="7" t="s">
        <v>372</v>
      </c>
      <c r="D42" s="7" t="s">
        <v>378</v>
      </c>
    </row>
    <row r="43" customFormat="false" ht="46.25" hidden="false" customHeight="true" outlineLevel="0" collapsed="false">
      <c r="A43" s="17" t="s">
        <v>141</v>
      </c>
      <c r="B43" s="7" t="s">
        <v>379</v>
      </c>
      <c r="C43" s="7"/>
      <c r="D43" s="7"/>
    </row>
    <row r="45" customFormat="false" ht="15" hidden="false" customHeight="false" outlineLevel="0" collapsed="false">
      <c r="A45" s="16" t="s">
        <v>380</v>
      </c>
      <c r="B45" s="16"/>
      <c r="C45" s="16"/>
      <c r="D45" s="16"/>
    </row>
    <row r="46" customFormat="false" ht="30" hidden="false" customHeight="true" outlineLevel="0" collapsed="false">
      <c r="A46" s="17" t="s">
        <v>3</v>
      </c>
      <c r="B46" s="7" t="s">
        <v>381</v>
      </c>
      <c r="C46" s="7"/>
      <c r="D46" s="7"/>
    </row>
    <row r="47" customFormat="false" ht="25.5" hidden="false" customHeight="true" outlineLevel="0" collapsed="false">
      <c r="A47" s="17" t="s">
        <v>121</v>
      </c>
      <c r="B47" s="7" t="s">
        <v>382</v>
      </c>
      <c r="C47" s="7"/>
      <c r="D47" s="7"/>
    </row>
    <row r="48" customFormat="false" ht="23.85" hidden="false" customHeight="true" outlineLevel="0" collapsed="false">
      <c r="A48" s="17" t="s">
        <v>28</v>
      </c>
      <c r="B48" s="7" t="s">
        <v>100</v>
      </c>
      <c r="C48" s="7"/>
      <c r="D48" s="7"/>
    </row>
    <row r="49" customFormat="false" ht="35.05" hidden="false" customHeight="true" outlineLevel="0" collapsed="false">
      <c r="A49" s="17" t="s">
        <v>27</v>
      </c>
      <c r="B49" s="7" t="s">
        <v>90</v>
      </c>
      <c r="C49" s="7"/>
      <c r="D49" s="7"/>
    </row>
    <row r="50" customFormat="false" ht="15" hidden="false" customHeight="false" outlineLevel="0" collapsed="false">
      <c r="A50" s="6" t="s">
        <v>124</v>
      </c>
      <c r="B50" s="6" t="s">
        <v>125</v>
      </c>
      <c r="C50" s="6" t="s">
        <v>126</v>
      </c>
      <c r="D50" s="6" t="s">
        <v>127</v>
      </c>
    </row>
    <row r="51" customFormat="false" ht="23.85" hidden="false" customHeight="false" outlineLevel="0" collapsed="false">
      <c r="A51" s="13" t="n">
        <v>1</v>
      </c>
      <c r="B51" s="7" t="s">
        <v>383</v>
      </c>
      <c r="C51" s="7" t="s">
        <v>100</v>
      </c>
      <c r="D51" s="7"/>
    </row>
    <row r="52" customFormat="false" ht="23.85" hidden="false" customHeight="false" outlineLevel="0" collapsed="false">
      <c r="A52" s="13" t="n">
        <v>2</v>
      </c>
      <c r="B52" s="7" t="s">
        <v>384</v>
      </c>
      <c r="C52" s="7" t="s">
        <v>350</v>
      </c>
      <c r="D52" s="7"/>
    </row>
    <row r="53" customFormat="false" ht="23.85" hidden="false" customHeight="false" outlineLevel="0" collapsed="false">
      <c r="A53" s="13" t="n">
        <v>3</v>
      </c>
      <c r="B53" s="7" t="s">
        <v>385</v>
      </c>
      <c r="C53" s="7" t="s">
        <v>350</v>
      </c>
      <c r="D53" s="7"/>
    </row>
    <row r="54" customFormat="false" ht="23.85" hidden="false" customHeight="false" outlineLevel="0" collapsed="false">
      <c r="A54" s="13" t="n">
        <v>4</v>
      </c>
      <c r="B54" s="7" t="s">
        <v>386</v>
      </c>
      <c r="C54" s="7" t="s">
        <v>387</v>
      </c>
      <c r="D54" s="7"/>
    </row>
    <row r="55" customFormat="false" ht="23.85" hidden="false" customHeight="false" outlineLevel="0" collapsed="false">
      <c r="A55" s="13" t="n">
        <v>5</v>
      </c>
      <c r="B55" s="7" t="s">
        <v>388</v>
      </c>
      <c r="C55" s="7" t="s">
        <v>317</v>
      </c>
      <c r="D55" s="7" t="s">
        <v>389</v>
      </c>
    </row>
    <row r="56" customFormat="false" ht="46.25" hidden="false" customHeight="true" outlineLevel="0" collapsed="false">
      <c r="A56" s="17" t="s">
        <v>141</v>
      </c>
      <c r="B56" s="7" t="s">
        <v>390</v>
      </c>
      <c r="C56" s="7"/>
      <c r="D56" s="7"/>
    </row>
  </sheetData>
  <mergeCells count="26">
    <mergeCell ref="A1:D1"/>
    <mergeCell ref="A2:D2"/>
    <mergeCell ref="A4:D4"/>
    <mergeCell ref="B5:D5"/>
    <mergeCell ref="B6:D6"/>
    <mergeCell ref="B7:D7"/>
    <mergeCell ref="B8:D8"/>
    <mergeCell ref="B16:D16"/>
    <mergeCell ref="A18:D18"/>
    <mergeCell ref="B19:D19"/>
    <mergeCell ref="B20:D20"/>
    <mergeCell ref="B21:D21"/>
    <mergeCell ref="B22:D22"/>
    <mergeCell ref="B29:D29"/>
    <mergeCell ref="A31:D31"/>
    <mergeCell ref="B32:D32"/>
    <mergeCell ref="B33:D33"/>
    <mergeCell ref="B34:D34"/>
    <mergeCell ref="B35:D35"/>
    <mergeCell ref="B43:D43"/>
    <mergeCell ref="A45:D45"/>
    <mergeCell ref="B46:D46"/>
    <mergeCell ref="B47:D47"/>
    <mergeCell ref="B48:D48"/>
    <mergeCell ref="B49:D49"/>
    <mergeCell ref="B56:D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8"/>
    <col collapsed="false" customWidth="true" hidden="false" outlineLevel="0" max="3" min="3" style="0" width="24"/>
    <col collapsed="false" customWidth="true" hidden="false" outlineLevel="0" max="4" min="4" style="0" width="42"/>
  </cols>
  <sheetData>
    <row r="1" customFormat="false" ht="17.35" hidden="false" customHeight="false" outlineLevel="0" collapsed="false">
      <c r="A1" s="8" t="s">
        <v>391</v>
      </c>
      <c r="B1" s="8"/>
      <c r="C1" s="8"/>
      <c r="D1" s="8"/>
    </row>
    <row r="2" customFormat="false" ht="15" hidden="false" customHeight="false" outlineLevel="0" collapsed="false">
      <c r="A2" s="15" t="s">
        <v>118</v>
      </c>
      <c r="B2" s="15"/>
      <c r="C2" s="15"/>
      <c r="D2" s="15"/>
    </row>
    <row r="4" customFormat="false" ht="15" hidden="false" customHeight="false" outlineLevel="0" collapsed="false">
      <c r="A4" s="16" t="s">
        <v>392</v>
      </c>
      <c r="B4" s="16"/>
      <c r="C4" s="16"/>
      <c r="D4" s="16"/>
    </row>
    <row r="5" customFormat="false" ht="30" hidden="false" customHeight="true" outlineLevel="0" collapsed="false">
      <c r="A5" s="17" t="s">
        <v>3</v>
      </c>
      <c r="B5" s="7" t="s">
        <v>393</v>
      </c>
      <c r="C5" s="7"/>
      <c r="D5" s="7"/>
    </row>
    <row r="6" customFormat="false" ht="25.5" hidden="false" customHeight="true" outlineLevel="0" collapsed="false">
      <c r="A6" s="17" t="s">
        <v>121</v>
      </c>
      <c r="B6" s="7" t="s">
        <v>394</v>
      </c>
      <c r="C6" s="7"/>
      <c r="D6" s="7"/>
    </row>
    <row r="7" customFormat="false" ht="23.85" hidden="false" customHeight="true" outlineLevel="0" collapsed="false">
      <c r="A7" s="17" t="s">
        <v>28</v>
      </c>
      <c r="B7" s="7" t="s">
        <v>105</v>
      </c>
      <c r="C7" s="7"/>
      <c r="D7" s="7"/>
    </row>
    <row r="8" customFormat="false" ht="35.05" hidden="false" customHeight="true" outlineLevel="0" collapsed="false">
      <c r="A8" s="17" t="s">
        <v>27</v>
      </c>
      <c r="B8" s="7" t="s">
        <v>104</v>
      </c>
      <c r="C8" s="7"/>
      <c r="D8" s="7"/>
    </row>
    <row r="9" customFormat="false" ht="15" hidden="false" customHeight="false" outlineLevel="0" collapsed="false">
      <c r="A9" s="6" t="s">
        <v>124</v>
      </c>
      <c r="B9" s="6" t="s">
        <v>125</v>
      </c>
      <c r="C9" s="6" t="s">
        <v>126</v>
      </c>
      <c r="D9" s="6" t="s">
        <v>127</v>
      </c>
    </row>
    <row r="10" customFormat="false" ht="35.05" hidden="false" customHeight="false" outlineLevel="0" collapsed="false">
      <c r="A10" s="13" t="n">
        <v>1</v>
      </c>
      <c r="B10" s="7" t="s">
        <v>395</v>
      </c>
      <c r="C10" s="7" t="s">
        <v>317</v>
      </c>
      <c r="D10" s="7" t="s">
        <v>396</v>
      </c>
    </row>
    <row r="11" customFormat="false" ht="35.05" hidden="false" customHeight="false" outlineLevel="0" collapsed="false">
      <c r="A11" s="13" t="n">
        <v>2</v>
      </c>
      <c r="B11" s="7" t="s">
        <v>397</v>
      </c>
      <c r="C11" s="7" t="s">
        <v>317</v>
      </c>
      <c r="D11" s="7" t="s">
        <v>398</v>
      </c>
    </row>
    <row r="12" customFormat="false" ht="35.05" hidden="false" customHeight="false" outlineLevel="0" collapsed="false">
      <c r="A12" s="13" t="n">
        <v>3</v>
      </c>
      <c r="B12" s="7" t="s">
        <v>399</v>
      </c>
      <c r="C12" s="7" t="s">
        <v>105</v>
      </c>
      <c r="D12" s="7"/>
    </row>
    <row r="13" customFormat="false" ht="23.85" hidden="false" customHeight="false" outlineLevel="0" collapsed="false">
      <c r="A13" s="13" t="n">
        <v>4</v>
      </c>
      <c r="B13" s="7" t="s">
        <v>400</v>
      </c>
      <c r="C13" s="7" t="s">
        <v>401</v>
      </c>
      <c r="D13" s="7"/>
    </row>
    <row r="14" customFormat="false" ht="23.85" hidden="false" customHeight="false" outlineLevel="0" collapsed="false">
      <c r="A14" s="13" t="n">
        <v>5</v>
      </c>
      <c r="B14" s="7" t="s">
        <v>402</v>
      </c>
      <c r="C14" s="7" t="s">
        <v>317</v>
      </c>
      <c r="D14" s="7"/>
    </row>
    <row r="15" customFormat="false" ht="46.25" hidden="false" customHeight="true" outlineLevel="0" collapsed="false">
      <c r="A15" s="17" t="s">
        <v>141</v>
      </c>
      <c r="B15" s="7" t="s">
        <v>403</v>
      </c>
      <c r="C15" s="7"/>
      <c r="D15" s="7"/>
    </row>
    <row r="17" customFormat="false" ht="15" hidden="false" customHeight="false" outlineLevel="0" collapsed="false">
      <c r="A17" s="16" t="s">
        <v>404</v>
      </c>
      <c r="B17" s="16"/>
      <c r="C17" s="16"/>
      <c r="D17" s="16"/>
    </row>
    <row r="18" customFormat="false" ht="30" hidden="false" customHeight="true" outlineLevel="0" collapsed="false">
      <c r="A18" s="17" t="s">
        <v>3</v>
      </c>
      <c r="B18" s="7" t="s">
        <v>405</v>
      </c>
      <c r="C18" s="7"/>
      <c r="D18" s="7"/>
    </row>
    <row r="19" customFormat="false" ht="25.5" hidden="false" customHeight="true" outlineLevel="0" collapsed="false">
      <c r="A19" s="17" t="s">
        <v>121</v>
      </c>
      <c r="B19" s="7" t="s">
        <v>406</v>
      </c>
      <c r="C19" s="7"/>
      <c r="D19" s="7"/>
    </row>
    <row r="20" customFormat="false" ht="23.85" hidden="false" customHeight="true" outlineLevel="0" collapsed="false">
      <c r="A20" s="17" t="s">
        <v>28</v>
      </c>
      <c r="B20" s="7" t="s">
        <v>109</v>
      </c>
      <c r="C20" s="7"/>
      <c r="D20" s="7"/>
    </row>
    <row r="21" customFormat="false" ht="35.05" hidden="false" customHeight="true" outlineLevel="0" collapsed="false">
      <c r="A21" s="17" t="s">
        <v>27</v>
      </c>
      <c r="B21" s="7" t="s">
        <v>108</v>
      </c>
      <c r="C21" s="7"/>
      <c r="D21" s="7"/>
    </row>
    <row r="22" customFormat="false" ht="15" hidden="false" customHeight="false" outlineLevel="0" collapsed="false">
      <c r="A22" s="6" t="s">
        <v>124</v>
      </c>
      <c r="B22" s="6" t="s">
        <v>125</v>
      </c>
      <c r="C22" s="6" t="s">
        <v>126</v>
      </c>
      <c r="D22" s="6" t="s">
        <v>127</v>
      </c>
    </row>
    <row r="23" customFormat="false" ht="35.05" hidden="false" customHeight="false" outlineLevel="0" collapsed="false">
      <c r="A23" s="13" t="n">
        <v>1</v>
      </c>
      <c r="B23" s="7" t="s">
        <v>407</v>
      </c>
      <c r="C23" s="7" t="s">
        <v>408</v>
      </c>
      <c r="D23" s="7" t="s">
        <v>409</v>
      </c>
    </row>
    <row r="24" customFormat="false" ht="46.25" hidden="false" customHeight="false" outlineLevel="0" collapsed="false">
      <c r="A24" s="13" t="n">
        <v>2</v>
      </c>
      <c r="B24" s="7" t="s">
        <v>410</v>
      </c>
      <c r="C24" s="7" t="s">
        <v>408</v>
      </c>
      <c r="D24" s="7" t="s">
        <v>411</v>
      </c>
    </row>
    <row r="25" customFormat="false" ht="35.05" hidden="false" customHeight="false" outlineLevel="0" collapsed="false">
      <c r="A25" s="13" t="n">
        <v>3</v>
      </c>
      <c r="B25" s="7" t="s">
        <v>412</v>
      </c>
      <c r="C25" s="7" t="s">
        <v>109</v>
      </c>
      <c r="D25" s="7"/>
    </row>
    <row r="26" customFormat="false" ht="23.85" hidden="false" customHeight="false" outlineLevel="0" collapsed="false">
      <c r="A26" s="13" t="n">
        <v>4</v>
      </c>
      <c r="B26" s="7" t="s">
        <v>413</v>
      </c>
      <c r="C26" s="7" t="s">
        <v>414</v>
      </c>
      <c r="D26" s="7"/>
    </row>
    <row r="27" customFormat="false" ht="23.85" hidden="false" customHeight="false" outlineLevel="0" collapsed="false">
      <c r="A27" s="13" t="n">
        <v>5</v>
      </c>
      <c r="B27" s="7" t="s">
        <v>415</v>
      </c>
      <c r="C27" s="7" t="s">
        <v>416</v>
      </c>
      <c r="D27" s="7"/>
    </row>
    <row r="28" customFormat="false" ht="35.05" hidden="false" customHeight="false" outlineLevel="0" collapsed="false">
      <c r="A28" s="13" t="n">
        <v>6</v>
      </c>
      <c r="B28" s="7" t="s">
        <v>417</v>
      </c>
      <c r="C28" s="7" t="s">
        <v>17</v>
      </c>
      <c r="D28" s="7"/>
    </row>
    <row r="29" customFormat="false" ht="46.25" hidden="false" customHeight="true" outlineLevel="0" collapsed="false">
      <c r="A29" s="17" t="s">
        <v>141</v>
      </c>
      <c r="B29" s="7" t="s">
        <v>418</v>
      </c>
      <c r="C29" s="7"/>
      <c r="D29" s="7"/>
    </row>
    <row r="31" customFormat="false" ht="15" hidden="false" customHeight="false" outlineLevel="0" collapsed="false">
      <c r="A31" s="16" t="s">
        <v>419</v>
      </c>
      <c r="B31" s="16"/>
      <c r="C31" s="16"/>
      <c r="D31" s="16"/>
    </row>
    <row r="32" customFormat="false" ht="30" hidden="false" customHeight="true" outlineLevel="0" collapsed="false">
      <c r="A32" s="17" t="s">
        <v>3</v>
      </c>
      <c r="B32" s="7" t="s">
        <v>420</v>
      </c>
      <c r="C32" s="7"/>
      <c r="D32" s="7"/>
    </row>
    <row r="33" customFormat="false" ht="25.5" hidden="false" customHeight="true" outlineLevel="0" collapsed="false">
      <c r="A33" s="17" t="s">
        <v>121</v>
      </c>
      <c r="B33" s="7" t="s">
        <v>421</v>
      </c>
      <c r="C33" s="7"/>
      <c r="D33" s="7"/>
    </row>
    <row r="34" customFormat="false" ht="23.85" hidden="false" customHeight="true" outlineLevel="0" collapsed="false">
      <c r="A34" s="17" t="s">
        <v>28</v>
      </c>
      <c r="B34" s="7" t="s">
        <v>113</v>
      </c>
      <c r="C34" s="7"/>
      <c r="D34" s="7"/>
    </row>
    <row r="35" customFormat="false" ht="35.05" hidden="false" customHeight="true" outlineLevel="0" collapsed="false">
      <c r="A35" s="17" t="s">
        <v>27</v>
      </c>
      <c r="B35" s="7" t="s">
        <v>112</v>
      </c>
      <c r="C35" s="7"/>
      <c r="D35" s="7"/>
    </row>
    <row r="36" customFormat="false" ht="15" hidden="false" customHeight="false" outlineLevel="0" collapsed="false">
      <c r="A36" s="6" t="s">
        <v>124</v>
      </c>
      <c r="B36" s="6" t="s">
        <v>125</v>
      </c>
      <c r="C36" s="6" t="s">
        <v>126</v>
      </c>
      <c r="D36" s="6" t="s">
        <v>127</v>
      </c>
    </row>
    <row r="37" customFormat="false" ht="35.05" hidden="false" customHeight="false" outlineLevel="0" collapsed="false">
      <c r="A37" s="13" t="n">
        <v>1</v>
      </c>
      <c r="B37" s="7" t="s">
        <v>422</v>
      </c>
      <c r="C37" s="7" t="s">
        <v>317</v>
      </c>
      <c r="D37" s="7" t="s">
        <v>423</v>
      </c>
    </row>
    <row r="38" customFormat="false" ht="23.85" hidden="false" customHeight="false" outlineLevel="0" collapsed="false">
      <c r="A38" s="13" t="n">
        <v>2</v>
      </c>
      <c r="B38" s="7" t="s">
        <v>424</v>
      </c>
      <c r="C38" s="7" t="s">
        <v>317</v>
      </c>
      <c r="D38" s="7" t="s">
        <v>425</v>
      </c>
    </row>
    <row r="39" customFormat="false" ht="35.05" hidden="false" customHeight="false" outlineLevel="0" collapsed="false">
      <c r="A39" s="13" t="n">
        <v>3</v>
      </c>
      <c r="B39" s="7" t="s">
        <v>426</v>
      </c>
      <c r="C39" s="7" t="s">
        <v>317</v>
      </c>
      <c r="D39" s="7"/>
    </row>
    <row r="40" customFormat="false" ht="23.85" hidden="false" customHeight="false" outlineLevel="0" collapsed="false">
      <c r="A40" s="13" t="n">
        <v>4</v>
      </c>
      <c r="B40" s="7" t="s">
        <v>427</v>
      </c>
      <c r="C40" s="7" t="s">
        <v>317</v>
      </c>
      <c r="D40" s="7"/>
    </row>
    <row r="41" customFormat="false" ht="23.85" hidden="false" customHeight="false" outlineLevel="0" collapsed="false">
      <c r="A41" s="13" t="n">
        <v>5</v>
      </c>
      <c r="B41" s="7" t="s">
        <v>428</v>
      </c>
      <c r="C41" s="7" t="s">
        <v>401</v>
      </c>
      <c r="D41" s="7"/>
    </row>
    <row r="42" customFormat="false" ht="46.25" hidden="false" customHeight="true" outlineLevel="0" collapsed="false">
      <c r="A42" s="17" t="s">
        <v>141</v>
      </c>
      <c r="B42" s="7" t="s">
        <v>429</v>
      </c>
      <c r="C42" s="7"/>
      <c r="D42" s="7"/>
    </row>
    <row r="44" customFormat="false" ht="15" hidden="false" customHeight="false" outlineLevel="0" collapsed="false">
      <c r="A44" s="16" t="s">
        <v>430</v>
      </c>
      <c r="B44" s="16"/>
      <c r="C44" s="16"/>
      <c r="D44" s="16"/>
    </row>
    <row r="45" customFormat="false" ht="30" hidden="false" customHeight="true" outlineLevel="0" collapsed="false">
      <c r="A45" s="17" t="s">
        <v>3</v>
      </c>
      <c r="B45" s="7" t="s">
        <v>431</v>
      </c>
      <c r="C45" s="7"/>
      <c r="D45" s="7"/>
    </row>
    <row r="46" customFormat="false" ht="25.5" hidden="false" customHeight="true" outlineLevel="0" collapsed="false">
      <c r="A46" s="17" t="s">
        <v>121</v>
      </c>
      <c r="B46" s="7" t="s">
        <v>432</v>
      </c>
      <c r="C46" s="7"/>
      <c r="D46" s="7"/>
    </row>
    <row r="47" customFormat="false" ht="23.85" hidden="false" customHeight="true" outlineLevel="0" collapsed="false">
      <c r="A47" s="17" t="s">
        <v>28</v>
      </c>
      <c r="B47" s="7" t="s">
        <v>116</v>
      </c>
      <c r="C47" s="7"/>
      <c r="D47" s="7"/>
    </row>
    <row r="48" customFormat="false" ht="35.05" hidden="false" customHeight="true" outlineLevel="0" collapsed="false">
      <c r="A48" s="17" t="s">
        <v>27</v>
      </c>
      <c r="B48" s="7" t="s">
        <v>123</v>
      </c>
      <c r="C48" s="7"/>
      <c r="D48" s="7"/>
    </row>
    <row r="49" customFormat="false" ht="15" hidden="false" customHeight="false" outlineLevel="0" collapsed="false">
      <c r="A49" s="6" t="s">
        <v>124</v>
      </c>
      <c r="B49" s="6" t="s">
        <v>125</v>
      </c>
      <c r="C49" s="6" t="s">
        <v>126</v>
      </c>
      <c r="D49" s="6" t="s">
        <v>127</v>
      </c>
    </row>
    <row r="50" customFormat="false" ht="23.85" hidden="false" customHeight="false" outlineLevel="0" collapsed="false">
      <c r="A50" s="13" t="n">
        <v>1</v>
      </c>
      <c r="B50" s="7" t="s">
        <v>433</v>
      </c>
      <c r="C50" s="7" t="s">
        <v>40</v>
      </c>
      <c r="D50" s="7" t="s">
        <v>434</v>
      </c>
    </row>
    <row r="51" customFormat="false" ht="23.85" hidden="false" customHeight="false" outlineLevel="0" collapsed="false">
      <c r="A51" s="13" t="n">
        <v>2</v>
      </c>
      <c r="B51" s="7" t="s">
        <v>435</v>
      </c>
      <c r="C51" s="7" t="s">
        <v>40</v>
      </c>
      <c r="D51" s="7"/>
    </row>
    <row r="52" customFormat="false" ht="35.05" hidden="false" customHeight="false" outlineLevel="0" collapsed="false">
      <c r="A52" s="13" t="n">
        <v>3</v>
      </c>
      <c r="B52" s="7" t="s">
        <v>436</v>
      </c>
      <c r="C52" s="7" t="s">
        <v>177</v>
      </c>
      <c r="D52" s="7"/>
    </row>
    <row r="53" customFormat="false" ht="23.85" hidden="false" customHeight="false" outlineLevel="0" collapsed="false">
      <c r="A53" s="13" t="n">
        <v>4</v>
      </c>
      <c r="B53" s="7" t="s">
        <v>437</v>
      </c>
      <c r="C53" s="7" t="s">
        <v>177</v>
      </c>
      <c r="D53" s="7"/>
    </row>
    <row r="54" customFormat="false" ht="23.85" hidden="false" customHeight="false" outlineLevel="0" collapsed="false">
      <c r="A54" s="13" t="n">
        <v>5</v>
      </c>
      <c r="B54" s="7" t="s">
        <v>438</v>
      </c>
      <c r="C54" s="7" t="s">
        <v>177</v>
      </c>
      <c r="D54" s="7"/>
    </row>
    <row r="55" customFormat="false" ht="35.05" hidden="false" customHeight="false" outlineLevel="0" collapsed="false">
      <c r="A55" s="13" t="n">
        <v>6</v>
      </c>
      <c r="B55" s="7" t="s">
        <v>439</v>
      </c>
      <c r="C55" s="7" t="s">
        <v>177</v>
      </c>
      <c r="D55" s="7" t="s">
        <v>440</v>
      </c>
    </row>
    <row r="56" customFormat="false" ht="46.25" hidden="false" customHeight="true" outlineLevel="0" collapsed="false">
      <c r="A56" s="17" t="s">
        <v>141</v>
      </c>
      <c r="B56" s="7" t="s">
        <v>441</v>
      </c>
      <c r="C56" s="7"/>
      <c r="D56" s="7"/>
    </row>
  </sheetData>
  <mergeCells count="26">
    <mergeCell ref="A1:D1"/>
    <mergeCell ref="A2:D2"/>
    <mergeCell ref="A4:D4"/>
    <mergeCell ref="B5:D5"/>
    <mergeCell ref="B6:D6"/>
    <mergeCell ref="B7:D7"/>
    <mergeCell ref="B8:D8"/>
    <mergeCell ref="B15:D15"/>
    <mergeCell ref="A17:D17"/>
    <mergeCell ref="B18:D18"/>
    <mergeCell ref="B19:D19"/>
    <mergeCell ref="B20:D20"/>
    <mergeCell ref="B21:D21"/>
    <mergeCell ref="B29:D29"/>
    <mergeCell ref="A31:D31"/>
    <mergeCell ref="B32:D32"/>
    <mergeCell ref="B33:D33"/>
    <mergeCell ref="B34:D34"/>
    <mergeCell ref="B35:D35"/>
    <mergeCell ref="B42:D42"/>
    <mergeCell ref="A44:D44"/>
    <mergeCell ref="B45:D45"/>
    <mergeCell ref="B46:D46"/>
    <mergeCell ref="B47:D47"/>
    <mergeCell ref="B48:D48"/>
    <mergeCell ref="B56:D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2026-09-26T16:09:07Z</dcterms:created>
  <dc:creator>openpyxl</dc:creator>
  <dc:description/>
  <dc:language>en-US</dc:language>
  <cp:lastModifiedBy/>
  <dcterms:modified xsi:type="dcterms:W3CDTF">2026-09-26T16:09:07Z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