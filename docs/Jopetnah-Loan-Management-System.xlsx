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ex" sheetId="1" state="visible" r:id="rId3"/>
    <sheet name="DASHBOARD" sheetId="2" state="visible" r:id="rId4"/>
    <sheet name="Lists" sheetId="3" state="visible" r:id="rId5"/>
    <sheet name="PRODUCTS" sheetId="4" state="visible" r:id="rId6"/>
    <sheet name="BORROWERS" sheetId="5" state="visible" r:id="rId7"/>
    <sheet name="GUARANTORS" sheetId="6" state="visible" r:id="rId8"/>
    <sheet name="COLLATERAL" sheetId="7" state="visible" r:id="rId9"/>
    <sheet name="APPLICATIONS" sheetId="8" state="visible" r:id="rId10"/>
    <sheet name="PORTFOLIO" sheetId="9" state="visible" r:id="rId11"/>
    <sheet name="REPAYMENTS" sheetId="10" state="visible" r:id="rId12"/>
    <sheet name="ARREARS-PAR" sheetId="11" state="visible" r:id="rId13"/>
    <sheet name="OFFICER-PERF" sheetId="12" state="visible" r:id="rId14"/>
    <sheet name="WRITEOFFS" sheetId="13" state="visible" r:id="rId15"/>
    <sheet name="AMORT"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<sst xmlns="http://schemas.openxmlformats.org/spreadsheetml/2006/main" count="430" uniqueCount="319">
  <si>
    <t xml:space="preserve">Jopetnah International Limited — Loan Management System</t>
  </si>
  <si>
    <t xml:space="preserve">Empowering Businesses with Practical Solutions. A working loan portfolio tracking tool — not a substitute for a licensed core banking system.</t>
  </si>
  <si>
    <t xml:space="preserve">How the Workbook Fits Together</t>
  </si>
  <si>
    <t xml:space="preserve">1. Set up PRODUCTS once. 2. Register borrowers in BORROWERS. 3. Log every request in APPLICATIONS. 4. On approval and disbursement, create the loan in PORTFOLIO (the master ledger everything else rolls up from). 5. Record guarantors and collateral against the Loan ID. 6. Log every payment in REPAYMENTS as it arrives. 7. Monitor ARREARS-PAR and the DASHBOARD. 8. Use AMORT to print or review one loan's full schedule. 9. If a loan becomes unrecoverable, record it in WRITEOFFS and update its Status in PORTFOLIO.</t>
  </si>
  <si>
    <t xml:space="preserve">Key Assumptions — Read Before Relying on the Numbers</t>
  </si>
  <si>
    <t xml:space="preserve">• Amortisation assumes MONTHLY repayments. Weekly and Bi-Weekly loans can still be recorded (for reference), but the automatic schedule, arrears and PAR formulas will not be accurate for them — calculate those manually.</t>
  </si>
  <si>
    <t xml:space="preserve">• "Outstanding Balance" on PORTFOLIO is Total Repayable minus Total Paid — the full remaining principal-plus-interest obligation under the original schedule. It is not a precise principal-only early-settlement figure; use AMORT for that.</t>
  </si>
  <si>
    <t xml:space="preserve">• Arrears are estimated by comparing the number of installments that should have fallen due by today against what has actually been paid, then working out which installment's due date that shortfall traces back to. This is a reasonable portfolio-level approximation, not a payment-by-payment reconciliation.</t>
  </si>
  <si>
    <t xml:space="preserve">• The AMORT schedule generator is capped at 60 installments (5 years monthly).</t>
  </si>
  <si>
    <t xml:space="preserve">• Interest rate and method on each PORTFOLIO loan are independently editable from the Product's standard card, to allow for negotiated terms — the "Suggested" columns are reference only and do not constrain the actual fields.</t>
  </si>
  <si>
    <t xml:space="preserve">Regulatory Note</t>
  </si>
  <si>
    <t xml:space="preserve">Money-lending and microfinance activity in Uganda is regulated — among others, by the Tier 4 Microfinance Institutions and Money Lenders Act, 2016 (Uganda Microfinance Regulatory Authority) and, for deposit-taking institutions, the Financial Institutions Act. This workbook is an operational tracking tool only; it does not establish, confirm or substitute for any licence Jopetnah may need to conduct lending activity. Add the applicable licence to the LIC sheet of the Asset &amp; Compliance Registers workbook, and confirm licensing status with your legal or compliance advisor before relying on this system for live lending.</t>
  </si>
  <si>
    <t xml:space="preserve">Version Control</t>
  </si>
  <si>
    <t xml:space="preserve">Version</t>
  </si>
  <si>
    <t xml:space="preserve">Date</t>
  </si>
  <si>
    <t xml:space="preserve">Summary of Changes</t>
  </si>
  <si>
    <t xml:space="preserve">Approved By</t>
  </si>
  <si>
    <t xml:space="preserve">1.0</t>
  </si>
  <si>
    <t xml:space="preserve">01 Oct 2026</t>
  </si>
  <si>
    <t xml:space="preserve">First issue of the Loan Management System.</t>
  </si>
  <si>
    <t xml:space="preserve">Managing Director</t>
  </si>
  <si>
    <t xml:space="preserve">Sheet Index</t>
  </si>
  <si>
    <t xml:space="preserve">Code</t>
  </si>
  <si>
    <t xml:space="preserve">Sheet</t>
  </si>
  <si>
    <t xml:space="preserve">Purpose</t>
  </si>
  <si>
    <t xml:space="preserve">PRODUCTS</t>
  </si>
  <si>
    <t xml:space="preserve">Loan Products &amp; Rate Card</t>
  </si>
  <si>
    <t xml:space="preserve">Set up every loan product once here — everything else in the workbook refers back to it</t>
  </si>
  <si>
    <t xml:space="preserve">BORROWERS</t>
  </si>
  <si>
    <t xml:space="preserve">Borrower Register (KYC)</t>
  </si>
  <si>
    <t xml:space="preserve">Human client / customer master file — one row per borrower</t>
  </si>
  <si>
    <t xml:space="preserve">GUARANTORS</t>
  </si>
  <si>
    <t xml:space="preserve">Guarantor Register</t>
  </si>
  <si>
    <t xml:space="preserve">Everyone standing surety for a loan, linked to the loan they guarantee</t>
  </si>
  <si>
    <t xml:space="preserve">COLLATERAL</t>
  </si>
  <si>
    <t xml:space="preserve">Collateral Register</t>
  </si>
  <si>
    <t xml:space="preserve">Security pledged against loans, linked back to PORTFOLIO</t>
  </si>
  <si>
    <t xml:space="preserve">APPLICATIONS</t>
  </si>
  <si>
    <t xml:space="preserve">Loan Application Register</t>
  </si>
  <si>
    <t xml:space="preserve">Every request received, from intake through to the approval decision</t>
  </si>
  <si>
    <t xml:space="preserve">PORTFOLIO</t>
  </si>
  <si>
    <t xml:space="preserve">Loan Portfolio Register (Master Ledger)</t>
  </si>
  <si>
    <t xml:space="preserve">The central record of every loan — one row per disbursed loan; everything else in the workbook rolls up from here</t>
  </si>
  <si>
    <t xml:space="preserve">REPAYMENTS</t>
  </si>
  <si>
    <t xml:space="preserve">Repayment / Collections Register</t>
  </si>
  <si>
    <t xml:space="preserve">Every payment received against a loan — PORTFOLIO totals roll up from here</t>
  </si>
  <si>
    <t xml:space="preserve">ARREARS-PAR</t>
  </si>
  <si>
    <t xml:space="preserve">Arrears &amp; Portfolio-at-Risk (PAR) Report</t>
  </si>
  <si>
    <t xml:space="preserve">Risk Management — aging analysis of the live loan book</t>
  </si>
  <si>
    <t xml:space="preserve">OFFICER-PERF</t>
  </si>
  <si>
    <t xml:space="preserve">Loan Officer Performance</t>
  </si>
  <si>
    <t xml:space="preserve">Type each officer's name once below — every metric calculates from PORTFOLIO and REPAYMENTS</t>
  </si>
  <si>
    <t xml:space="preserve">WRITEOFFS</t>
  </si>
  <si>
    <t xml:space="preserve">Write-off Register</t>
  </si>
  <si>
    <t xml:space="preserve">Loans formally removed from the active portfolio as bad debt</t>
  </si>
  <si>
    <t xml:space="preserve">AMORT</t>
  </si>
  <si>
    <t xml:space="preserve">Loan Amortisation Schedule (Single Loan)</t>
  </si>
  <si>
    <t xml:space="preserve">Printable repayment schedule for one loan at a time</t>
  </si>
  <si>
    <t xml:space="preserve">DASHBOARD</t>
  </si>
  <si>
    <t xml:space="preserve">Loan Portfolio Dashboard</t>
  </si>
  <si>
    <t xml:space="preserve">Live summary — recalculates from PRODUCTS, BORROWERS, PORTFOLIO, REPAYMENTS, ARREARS-PAR and WRITEOFFS</t>
  </si>
  <si>
    <t xml:space="preserve">DASHBOARD  |  Loan Portfolio Dashboard</t>
  </si>
  <si>
    <t xml:space="preserve">Jopetnah International Limited  |  Version 1.0  |  As at 01 Oct 2026  |  Live summary — recalculates from PRODUCTS, BORROWERS, PORTFOLIO, REPAYMENTS, ARREARS-PAR and WRITEOFFS</t>
  </si>
  <si>
    <t xml:space="preserve">Total Borrowers</t>
  </si>
  <si>
    <t xml:space="preserve">Total Loans (all-time)</t>
  </si>
  <si>
    <t xml:space="preserve">Active Loans</t>
  </si>
  <si>
    <t xml:space="preserve">Total Disbursed (UGX, all-time)</t>
  </si>
  <si>
    <t xml:space="preserve">Total Outstanding (UGX, live)</t>
  </si>
  <si>
    <t xml:space="preserve">Total Collected (UGX, all-time)</t>
  </si>
  <si>
    <t xml:space="preserve">Loans in Arrears</t>
  </si>
  <si>
    <t xml:space="preserve">PAR &gt; 30 Days</t>
  </si>
  <si>
    <t xml:space="preserve">PAR &gt; 90 Days</t>
  </si>
  <si>
    <t xml:space="preserve">Total Written Off (UGX)</t>
  </si>
  <si>
    <t xml:space="preserve">Average Loan Size (UGX)</t>
  </si>
  <si>
    <t xml:space="preserve">Figures above are correct once PORTFOLIO, REPAYMENTS and WRITEOFFS contain real data — the EXAMPLE rows are excluded automatically.</t>
  </si>
  <si>
    <t xml:space="preserve">Live Outstanding by Loan Product</t>
  </si>
  <si>
    <t xml:space="preserve">Portfolio-at-Risk Ageing</t>
  </si>
  <si>
    <t xml:space="preserve">Live Outstanding by Branch</t>
  </si>
  <si>
    <t xml:space="preserve">Product</t>
  </si>
  <si>
    <t xml:space="preserve">Outstanding (UGX)</t>
  </si>
  <si>
    <t xml:space="preserve">Bucket</t>
  </si>
  <si>
    <t xml:space="preserve">Branch</t>
  </si>
  <si>
    <t xml:space="preserve">Kampala (Head Office)</t>
  </si>
  <si>
    <t xml:space="preserve">Jinja</t>
  </si>
  <si>
    <t xml:space="preserve">Mbarara</t>
  </si>
  <si>
    <t xml:space="preserve">Gulu</t>
  </si>
  <si>
    <t xml:space="preserve">Mbale</t>
  </si>
  <si>
    <t xml:space="preserve">Shows only the first 5 rows of PRODUCTS; add more products there and extend this range if you use more than 5 active products.</t>
  </si>
  <si>
    <t xml:space="preserve">Arua</t>
  </si>
  <si>
    <t xml:space="preserve">Fort Portal</t>
  </si>
  <si>
    <t xml:space="preserve">Hoima</t>
  </si>
  <si>
    <t xml:space="preserve">Adjumani</t>
  </si>
  <si>
    <t xml:space="preserve">Other</t>
  </si>
  <si>
    <t xml:space="preserve">Branch / Location</t>
  </si>
  <si>
    <t xml:space="preserve">Interest Method</t>
  </si>
  <si>
    <t xml:space="preserve">Repayment Frequency</t>
  </si>
  <si>
    <t xml:space="preserve">Loan Status</t>
  </si>
  <si>
    <t xml:space="preserve">Application Status</t>
  </si>
  <si>
    <t xml:space="preserve">Payment Method</t>
  </si>
  <si>
    <t xml:space="preserve">Collateral Type</t>
  </si>
  <si>
    <t xml:space="preserve">Collateral Status</t>
  </si>
  <si>
    <t xml:space="preserve">Credit Rating</t>
  </si>
  <si>
    <t xml:space="preserve">Product Status</t>
  </si>
  <si>
    <t xml:space="preserve">KYC on File (Y/N)</t>
  </si>
  <si>
    <t xml:space="preserve">Editable option lists behind every dropdown in this workbook. Loan Products, Loan IDs and Borrower Names are NOT here — those dropdowns pull live from the Products / Portfolio / Borrowers sheets instead.</t>
  </si>
  <si>
    <t xml:space="preserve">Reducing Balance</t>
  </si>
  <si>
    <t xml:space="preserve">Monthly</t>
  </si>
  <si>
    <t xml:space="preserve">Active</t>
  </si>
  <si>
    <t xml:space="preserve">Pending</t>
  </si>
  <si>
    <t xml:space="preserve">Cash</t>
  </si>
  <si>
    <t xml:space="preserve">Land Title</t>
  </si>
  <si>
    <t xml:space="preserve">Held</t>
  </si>
  <si>
    <t xml:space="preserve">A - Excellent</t>
  </si>
  <si>
    <t xml:space="preserve">Y</t>
  </si>
  <si>
    <t xml:space="preserve">Flat Rate</t>
  </si>
  <si>
    <t xml:space="preserve">Weekly</t>
  </si>
  <si>
    <t xml:space="preserve">Fully Paid</t>
  </si>
  <si>
    <t xml:space="preserve">Under Review</t>
  </si>
  <si>
    <t xml:space="preserve">Mobile Money</t>
  </si>
  <si>
    <t xml:space="preserve">Vehicle Logbook</t>
  </si>
  <si>
    <t xml:space="preserve">Released</t>
  </si>
  <si>
    <t xml:space="preserve">B - Good</t>
  </si>
  <si>
    <t xml:space="preserve">Inactive</t>
  </si>
  <si>
    <t xml:space="preserve">N</t>
  </si>
  <si>
    <t xml:space="preserve">Bi-Weekly (Fortnightly)</t>
  </si>
  <si>
    <t xml:space="preserve">Restructured</t>
  </si>
  <si>
    <t xml:space="preserve">Approved</t>
  </si>
  <si>
    <t xml:space="preserve">Bank Transfer</t>
  </si>
  <si>
    <t xml:space="preserve">Household Goods / Chattels</t>
  </si>
  <si>
    <t xml:space="preserve">Sold</t>
  </si>
  <si>
    <t xml:space="preserve">C - Fair</t>
  </si>
  <si>
    <t xml:space="preserve">Lump Sum (Bullet)</t>
  </si>
  <si>
    <t xml:space="preserve">Defaulted</t>
  </si>
  <si>
    <t xml:space="preserve">Rejected</t>
  </si>
  <si>
    <t xml:space="preserve">Cheque</t>
  </si>
  <si>
    <t xml:space="preserve">Business Stock</t>
  </si>
  <si>
    <t xml:space="preserve">Repossessed</t>
  </si>
  <si>
    <t xml:space="preserve">D - Poor / High Risk</t>
  </si>
  <si>
    <t xml:space="preserve">Written Off</t>
  </si>
  <si>
    <t xml:space="preserve">Disbursed</t>
  </si>
  <si>
    <t xml:space="preserve">Salary / Payslip Assignment</t>
  </si>
  <si>
    <t xml:space="preserve">Cancelled</t>
  </si>
  <si>
    <t xml:space="preserve">Group Guarantee</t>
  </si>
  <si>
    <t xml:space="preserve">None</t>
  </si>
  <si>
    <t xml:space="preserve">PRODUCTS  |  Loan Products &amp; Rate Card</t>
  </si>
  <si>
    <t xml:space="preserve">Jopetnah International Limited  |  Version 1.0  |  As at 01 Oct 2026  |  Set up every loan product once here — everything else in the workbook refers back to it</t>
  </si>
  <si>
    <t xml:space="preserve">Define each loan product's terms here before creating loans against it in PORTFOLIO. "Interest Method" drives the amortisation formulas used across the workbook: Reducing Balance (interest recalculated on the falling balance each period) or Flat Rate (interest fixed on the original principal for the full term). Replace the EXAMPLE rows with your real products.</t>
  </si>
  <si>
    <t xml:space="preserve">Product Code</t>
  </si>
  <si>
    <t xml:space="preserve">Product Name</t>
  </si>
  <si>
    <t xml:space="preserve">Interest Rate (% p.a.)</t>
  </si>
  <si>
    <t xml:space="preserve">Min Amount (UGX)</t>
  </si>
  <si>
    <t xml:space="preserve">Max Amount (UGX)</t>
  </si>
  <si>
    <t xml:space="preserve">Min Term (Months)</t>
  </si>
  <si>
    <t xml:space="preserve">Max Term (Months)</t>
  </si>
  <si>
    <t xml:space="preserve">Processing Fee (%)</t>
  </si>
  <si>
    <t xml:space="preserve">Insurance / Other Fee (%)</t>
  </si>
  <si>
    <t xml:space="preserve">Late Payment Penalty (% per month overdue)</t>
  </si>
  <si>
    <t xml:space="preserve">Grace Period (Days)</t>
  </si>
  <si>
    <t xml:space="preserve">Target Segment</t>
  </si>
  <si>
    <t xml:space="preserve">Status</t>
  </si>
  <si>
    <t xml:space="preserve">Notes</t>
  </si>
  <si>
    <t xml:space="preserve">EXAMPLE</t>
  </si>
  <si>
    <t xml:space="preserve">Business Growth Loan</t>
  </si>
  <si>
    <t xml:space="preserve">SMEs &amp; Traders</t>
  </si>
  <si>
    <t xml:space="preserve">Example — replace or delete.</t>
  </si>
  <si>
    <t xml:space="preserve">Agribusiness Loan</t>
  </si>
  <si>
    <t xml:space="preserve">Agricultural Sector (Sector 15)</t>
  </si>
  <si>
    <t xml:space="preserve">Emergency / Salary Advance</t>
  </si>
  <si>
    <t xml:space="preserve">Salaried Individuals</t>
  </si>
  <si>
    <t xml:space="preserve">Example — flat-rate example. Replace or delete.</t>
  </si>
  <si>
    <t xml:space="preserve">BORROWERS  |  Borrower Register (KYC)</t>
  </si>
  <si>
    <t xml:space="preserve">Jopetnah International Limited  |  Version 1.0  |  As at 01 Oct 2026  |  Human client / customer master file — one row per borrower</t>
  </si>
  <si>
    <t xml:space="preserve">Every borrower must appear here before a loan is created for them in PORTFOLIO. Age calculates automatically from Date of Birth.</t>
  </si>
  <si>
    <t xml:space="preserve">Borrower ID</t>
  </si>
  <si>
    <t xml:space="preserve">Full Name</t>
  </si>
  <si>
    <t xml:space="preserve">National ID / Passport No.</t>
  </si>
  <si>
    <t xml:space="preserve">Date of Birth</t>
  </si>
  <si>
    <t xml:space="preserve">Age</t>
  </si>
  <si>
    <t xml:space="preserve">Gender</t>
  </si>
  <si>
    <t xml:space="preserve">Phone Number</t>
  </si>
  <si>
    <t xml:space="preserve">Email</t>
  </si>
  <si>
    <t xml:space="preserve">Physical Address</t>
  </si>
  <si>
    <t xml:space="preserve">Occupation / Business Type</t>
  </si>
  <si>
    <t xml:space="preserve">Monthly Income (UGX)</t>
  </si>
  <si>
    <t xml:space="preserve">Date Registered</t>
  </si>
  <si>
    <t xml:space="preserve">KYC Documents on File (Y/N)</t>
  </si>
  <si>
    <t xml:space="preserve">Next of Kin Name</t>
  </si>
  <si>
    <t xml:space="preserve">Next of Kin Phone</t>
  </si>
  <si>
    <t xml:space="preserve">Relationship</t>
  </si>
  <si>
    <t xml:space="preserve">Example Borrower</t>
  </si>
  <si>
    <t xml:space="preserve">CM00000000EXAMP</t>
  </si>
  <si>
    <t xml:space="preserve">F</t>
  </si>
  <si>
    <t xml:space="preserve">+256 700 000000</t>
  </si>
  <si>
    <t xml:space="preserve">Kampala</t>
  </si>
  <si>
    <t xml:space="preserve">Retail trader</t>
  </si>
  <si>
    <t xml:space="preserve">Example Next of Kin</t>
  </si>
  <si>
    <t xml:space="preserve">+256 700 000001</t>
  </si>
  <si>
    <t xml:space="preserve">Spouse</t>
  </si>
  <si>
    <t xml:space="preserve">Example row — replace or delete.</t>
  </si>
  <si>
    <t xml:space="preserve">GUARANTORS  |  Guarantor Register</t>
  </si>
  <si>
    <t xml:space="preserve">Jopetnah International Limited  |  Version 1.0  |  As at 01 Oct 2026  |  Everyone standing surety for a loan, linked to the loan they guarantee</t>
  </si>
  <si>
    <t xml:space="preserve">Guarantor ID</t>
  </si>
  <si>
    <t xml:space="preserve">National ID</t>
  </si>
  <si>
    <t xml:space="preserve">Address</t>
  </si>
  <si>
    <t xml:space="preserve">Related Loan ID</t>
  </si>
  <si>
    <t xml:space="preserve">Related Borrower</t>
  </si>
  <si>
    <t xml:space="preserve">Relationship to Borrower</t>
  </si>
  <si>
    <t xml:space="preserve">Guarantee Amount (UGX)</t>
  </si>
  <si>
    <t xml:space="preserve">Example Guarantor</t>
  </si>
  <si>
    <t xml:space="preserve">CM00000001EXAMP</t>
  </si>
  <si>
    <t xml:space="preserve">+256 700 000002</t>
  </si>
  <si>
    <t xml:space="preserve">L-0001</t>
  </si>
  <si>
    <t xml:space="preserve">Sibling</t>
  </si>
  <si>
    <t xml:space="preserve">COLLATERAL  |  Collateral Register</t>
  </si>
  <si>
    <t xml:space="preserve">Jopetnah International Limited  |  Version 1.0  |  As at 01 Oct 2026  |  Security pledged against loans, linked back to PORTFOLIO</t>
  </si>
  <si>
    <t xml:space="preserve">Collateral ID</t>
  </si>
  <si>
    <t xml:space="preserve">Borrower Name</t>
  </si>
  <si>
    <t xml:space="preserve">Description</t>
  </si>
  <si>
    <t xml:space="preserve">Estimated Value (UGX)</t>
  </si>
  <si>
    <t xml:space="preserve">Valuation Date</t>
  </si>
  <si>
    <t xml:space="preserve">Valued By</t>
  </si>
  <si>
    <t xml:space="preserve">Location / Storage</t>
  </si>
  <si>
    <t xml:space="preserve">Household furniture and electronics</t>
  </si>
  <si>
    <t xml:space="preserve">Loan Officer</t>
  </si>
  <si>
    <t xml:space="preserve">Kept with borrower</t>
  </si>
  <si>
    <t xml:space="preserve">APPLICATIONS  |  Loan Application Register</t>
  </si>
  <si>
    <t xml:space="preserve">Jopetnah International Limited  |  Version 1.0  |  As at 01 Oct 2026  |  Every request received, from intake through to the approval decision</t>
  </si>
  <si>
    <t xml:space="preserve">Log every application here first. Once approved and disbursed, create the matching row in PORTFOLIO and record its Loan ID in "Linked Loan ID" so the two registers stay traceable to each other.</t>
  </si>
  <si>
    <t xml:space="preserve">Application ID</t>
  </si>
  <si>
    <t xml:space="preserve">Date Received</t>
  </si>
  <si>
    <t xml:space="preserve">Loan Product</t>
  </si>
  <si>
    <t xml:space="preserve">Amount Requested (UGX)</t>
  </si>
  <si>
    <t xml:space="preserve">Term Requested (Months)</t>
  </si>
  <si>
    <t xml:space="preserve">Approved Amount (UGX)</t>
  </si>
  <si>
    <t xml:space="preserve">Approved Term (Months)</t>
  </si>
  <si>
    <t xml:space="preserve">Decision Date</t>
  </si>
  <si>
    <t xml:space="preserve">Rejection Reason</t>
  </si>
  <si>
    <t xml:space="preserve">Linked Loan ID</t>
  </si>
  <si>
    <t xml:space="preserve">Working capital</t>
  </si>
  <si>
    <t xml:space="preserve">Example Loan Officer</t>
  </si>
  <si>
    <t xml:space="preserve">PORTFOLIO  |  Loan Portfolio Register (Master Ledger)</t>
  </si>
  <si>
    <t xml:space="preserve">Jopetnah International Limited  |  Version 1.0  |  As at 01 Oct 2026  |  The central record of every loan — one row per disbursed loan; everything else in the workbook rolls up from here</t>
  </si>
  <si>
    <t xml:space="preserve">Create one row here for every loan once disbursed. "Suggested Rate/Method" are read-only references pulled from PRODUCTS for the chosen Loan Product — the actual Interest Method and Rate fields next to them are independently editable, since real loans are sometimes negotiated away from the standard card. Outstanding Balance = Total Repayable − Total Paid to Date (the full remaining principal-plus-interest obligation under the original schedule, not a precise principal-only payoff figure — for an exact early-settlement figure, use the AMORT sheet). Arrears are estimated by comparing installments that should have fallen due by today against what has actually been paid; this assumes Monthly repayment frequency — for Weekly or Bi-Weekly loans, calculate arrears manually. The schedule generator on the AMORT sheet is capped at 60 installments (5 years monthly).</t>
  </si>
  <si>
    <t xml:space="preserve">Loan ID</t>
  </si>
  <si>
    <t xml:space="preserve">Suggested Rate % (from Product)</t>
  </si>
  <si>
    <t xml:space="preserve">Suggested Method (from Product)</t>
  </si>
  <si>
    <t xml:space="preserve">Principal Amount (UGX)</t>
  </si>
  <si>
    <t xml:space="preserve">Term (Months)</t>
  </si>
  <si>
    <t xml:space="preserve">Disbursement Date</t>
  </si>
  <si>
    <t xml:space="preserve">First Repayment Date</t>
  </si>
  <si>
    <t xml:space="preserve">Maturity Date</t>
  </si>
  <si>
    <t xml:space="preserve">Installment Amount (UGX)</t>
  </si>
  <si>
    <t xml:space="preserve">Total Interest (UGX)</t>
  </si>
  <si>
    <t xml:space="preserve">Total Repayable (UGX)</t>
  </si>
  <si>
    <t xml:space="preserve">Total Paid to Date (UGX)</t>
  </si>
  <si>
    <t xml:space="preserve">Outstanding Balance (UGX)</t>
  </si>
  <si>
    <t xml:space="preserve">Expected Installments Elapsed</t>
  </si>
  <si>
    <t xml:space="preserve">Arrears Amount (UGX)</t>
  </si>
  <si>
    <t xml:space="preserve">Days in Arrears</t>
  </si>
  <si>
    <t xml:space="preserve">PAR Category</t>
  </si>
  <si>
    <t xml:space="preserve">Guarantor Ref</t>
  </si>
  <si>
    <t xml:space="preserve">Collateral Ref</t>
  </si>
  <si>
    <t xml:space="preserve">Example row — replace or delete. Loan ID kept as L-0001 so GUARANTORS/COLLATERAL example rows still resolve.</t>
  </si>
  <si>
    <t xml:space="preserve">REPAYMENTS  |  Repayment / Collections Register</t>
  </si>
  <si>
    <t xml:space="preserve">Jopetnah International Limited  |  Version 1.0  |  As at 01 Oct 2026  |  Every payment received against a loan — PORTFOLIO totals roll up from here</t>
  </si>
  <si>
    <t xml:space="preserve">Payment ID</t>
  </si>
  <si>
    <t xml:space="preserve">Amount Paid (UGX)</t>
  </si>
  <si>
    <t xml:space="preserve">Receipt No.</t>
  </si>
  <si>
    <t xml:space="preserve">Received By</t>
  </si>
  <si>
    <t xml:space="preserve">RCT-0001</t>
  </si>
  <si>
    <t xml:space="preserve">ARREARS-PAR  |  Arrears &amp; Portfolio-at-Risk (PAR) Report</t>
  </si>
  <si>
    <t xml:space="preserve">Jopetnah International Limited  |  Version 1.0  |  As at 01 Oct 2026  |  Risk Management — aging analysis of the live loan book</t>
  </si>
  <si>
    <t xml:space="preserve">Standard microfinance PAR methodology. "Live Portfolio Outstanding" below is the sum of the first five buckets (Current through 90+ Days) — written-off loans are excluded from that denominator, as they are no longer part of the active book.</t>
  </si>
  <si>
    <t xml:space="preserve">Ageing Bucket</t>
  </si>
  <si>
    <t xml:space="preserve">No. of Loans</t>
  </si>
  <si>
    <t xml:space="preserve">Outstanding Amount (UGX)</t>
  </si>
  <si>
    <t xml:space="preserve">% of Live Portfolio</t>
  </si>
  <si>
    <t xml:space="preserve">Current</t>
  </si>
  <si>
    <t xml:space="preserve">1-30 Days</t>
  </si>
  <si>
    <t xml:space="preserve">31-60 Days</t>
  </si>
  <si>
    <t xml:space="preserve">61-90 Days</t>
  </si>
  <si>
    <t xml:space="preserve">90+ Days (PAR90)</t>
  </si>
  <si>
    <t xml:space="preserve">Live Portfolio Outstanding (UGX)</t>
  </si>
  <si>
    <t xml:space="preserve">Number of Loans in Arrears (1+ Days)</t>
  </si>
  <si>
    <t xml:space="preserve">Total Arrears Amount (UGX)</t>
  </si>
  <si>
    <t xml:space="preserve">PAR &gt; 30 Days (%)</t>
  </si>
  <si>
    <t xml:space="preserve">PAR &gt; 90 Days (%)</t>
  </si>
  <si>
    <t xml:space="preserve">OFFICER-PERF  |  Loan Officer Performance</t>
  </si>
  <si>
    <t xml:space="preserve">Jopetnah International Limited  |  Version 1.0  |  As at 01 Oct 2026  |  Type each officer's name once below — every metric calculates from PORTFOLIO and REPAYMENTS</t>
  </si>
  <si>
    <t xml:space="preserve">Total Disbursed (UGX)</t>
  </si>
  <si>
    <t xml:space="preserve">Total Outstanding (UGX)</t>
  </si>
  <si>
    <t xml:space="preserve">No. in Arrears</t>
  </si>
  <si>
    <t xml:space="preserve">PAR &gt; 30 (%)</t>
  </si>
  <si>
    <t xml:space="preserve">Total Collected (UGX)</t>
  </si>
  <si>
    <t xml:space="preserve">WRITEOFFS  |  Write-off Register</t>
  </si>
  <si>
    <t xml:space="preserve">Jopetnah International Limited  |  Version 1.0  |  As at 01 Oct 2026  |  Loans formally removed from the active portfolio as bad debt</t>
  </si>
  <si>
    <t xml:space="preserve">Amount Written Off is entered manually as a point-in-time decision (the live Outstanding Balance on PORTFOLIO keeps moving, so it is not a reliable source for a historical write-off figure). Set the loan's Status to "Written Off" on PORTFOLIO when you add a row here.</t>
  </si>
  <si>
    <t xml:space="preserve">Write-off ID</t>
  </si>
  <si>
    <t xml:space="preserve">Write-off Date</t>
  </si>
  <si>
    <t xml:space="preserve">Amount Written Off (UGX)</t>
  </si>
  <si>
    <t xml:space="preserve">Reason</t>
  </si>
  <si>
    <t xml:space="preserve">Amount Recovered Since (UGX)</t>
  </si>
  <si>
    <t xml:space="preserve">Net Loss (UGX)</t>
  </si>
  <si>
    <t xml:space="preserve">AMORT  |  Loan Amortisation Schedule (Single Loan)</t>
  </si>
  <si>
    <t xml:space="preserve">Jopetnah International Limited  |  Version 1.0  |  As at 01 Oct 2026  |  Printable repayment schedule for one loan at a time</t>
  </si>
  <si>
    <t xml:space="preserve">Pick a Loan ID below — the loan's details pull in automatically from PORTFOLIO, and the full schedule generates beneath. Capped at 60 installments (5 years monthly); rows beyond the loan's term are left blank. The two "Check" cells at the bottom confirm the schedule's total principal and total interest reconcile exactly to PORTFOLIO's figures — if either ever shows "CHECK", do not rely on the schedule until the mismatch is investigated.</t>
  </si>
  <si>
    <t xml:space="preserve">Select Loan ID:</t>
  </si>
  <si>
    <t xml:space="preserve">Borrower</t>
  </si>
  <si>
    <t xml:space="preserve">Principal (UGX)</t>
  </si>
  <si>
    <t xml:space="preserve">Installment No.</t>
  </si>
  <si>
    <t xml:space="preserve">Due Date</t>
  </si>
  <si>
    <t xml:space="preserve">Opening Balance (UGX)</t>
  </si>
  <si>
    <t xml:space="preserve">Interest (UGX)</t>
  </si>
  <si>
    <t xml:space="preserve">Installment (UGX)</t>
  </si>
  <si>
    <t xml:space="preserve">Closing Balance (UGX)</t>
  </si>
  <si>
    <t xml:space="preserve">Schedule total principal:</t>
  </si>
  <si>
    <t xml:space="preserve">Check vs Principal:</t>
  </si>
  <si>
    <t xml:space="preserve">Schedule total interest:</t>
  </si>
  <si>
    <t xml:space="preserve">Check vs Portfolio:</t>
  </si>
</sst>
</file>

<file path=xl/styles.xml><?xml version="1.0" encoding="utf-8"?>
<styleSheet xmlns="http://schemas.openxmlformats.org/spreadsheetml/2006/main">
  <numFmts count="7">
    <numFmt numFmtId="164" formatCode="General"/>
    <numFmt numFmtId="165" formatCode="0"/>
    <numFmt numFmtId="166" formatCode="#,##0"/>
    <numFmt numFmtId="167" formatCode="0.0%"/>
    <numFmt numFmtId="168" formatCode="dd\ mmm\ yyyy"/>
    <numFmt numFmtId="169" formatCode="General"/>
    <numFmt numFmtId="170" formatCode="0.00"/>
  </numFmts>
  <fonts count="27">
    <font>
      <sz val="11"/>
      <color theme="1"/>
      <name val="Calibri"/>
      <family val="2"/>
      <charset val="1"/>
    </font>
    <font>
      <sz val="10"/>
      <name val="Arial"/>
      <family val="0"/>
    </font>
    <font>
      <sz val="10"/>
      <name val="Arial"/>
      <family val="0"/>
    </font>
    <font>
      <sz val="10"/>
      <name val="Arial"/>
      <family val="0"/>
    </font>
    <font>
      <b val="true"/>
      <sz val="16"/>
      <color rgb="FF1B1E23"/>
      <name val="Arial"/>
      <family val="0"/>
      <charset val="1"/>
    </font>
    <font>
      <i val="true"/>
      <sz val="10"/>
      <color rgb="FF53555B"/>
      <name val="Arial"/>
      <family val="0"/>
      <charset val="1"/>
    </font>
    <font>
      <b val="true"/>
      <sz val="12"/>
      <color rgb="FF1B1E23"/>
      <name val="Arial"/>
      <family val="0"/>
      <charset val="1"/>
    </font>
    <font>
      <sz val="10"/>
      <color rgb="FF000000"/>
      <name val="Arial"/>
      <family val="0"/>
      <charset val="1"/>
    </font>
    <font>
      <b val="true"/>
      <sz val="10"/>
      <color rgb="FFFFFFFF"/>
      <name val="Arial"/>
      <family val="0"/>
      <charset val="1"/>
    </font>
    <font>
      <sz val="10"/>
      <color rgb="FF0E86D4"/>
      <name val="Arial"/>
      <family val="0"/>
      <charset val="1"/>
    </font>
    <font>
      <b val="true"/>
      <sz val="13"/>
      <color rgb="FFFFFFFF"/>
      <name val="Arial"/>
      <family val="0"/>
      <charset val="1"/>
    </font>
    <font>
      <i val="true"/>
      <sz val="9"/>
      <color rgb="FF53555B"/>
      <name val="Arial"/>
      <family val="0"/>
      <charset val="1"/>
    </font>
    <font>
      <b val="true"/>
      <sz val="9"/>
      <color rgb="FF53555B"/>
      <name val="Arial"/>
      <family val="0"/>
      <charset val="1"/>
    </font>
    <font>
      <b val="true"/>
      <sz val="13"/>
      <color rgb="FF0E86D4"/>
      <name val="Arial"/>
      <family val="0"/>
      <charset val="1"/>
    </font>
    <font>
      <b val="true"/>
      <sz val="13"/>
      <color rgb="FFE0151B"/>
      <name val="Arial"/>
      <family val="0"/>
      <charset val="1"/>
    </font>
    <font>
      <b val="true"/>
      <sz val="10"/>
      <color rgb="FF1B1E23"/>
      <name val="Arial"/>
      <family val="0"/>
      <charset val="1"/>
    </font>
    <font>
      <b val="true"/>
      <sz val="9"/>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
      <sz val="9"/>
      <color rgb="FF000000"/>
      <name val="Arial"/>
      <family val="0"/>
      <charset val="1"/>
    </font>
    <font>
      <b val="true"/>
      <i val="true"/>
      <sz val="9"/>
      <color rgb="FF53555B"/>
      <name val="Arial"/>
      <family val="0"/>
      <charset val="1"/>
    </font>
    <font>
      <b val="true"/>
      <sz val="9"/>
      <color rgb="FF000000"/>
      <name val="Arial"/>
      <family val="0"/>
      <charset val="1"/>
    </font>
    <font>
      <b val="true"/>
      <sz val="10"/>
      <color rgb="FF0E86D4"/>
      <name val="Arial"/>
      <family val="0"/>
      <charset val="1"/>
    </font>
    <font>
      <b val="true"/>
      <sz val="12"/>
      <color rgb="FFE0151B"/>
      <name val="Arial"/>
      <family val="0"/>
      <charset val="1"/>
    </font>
    <font>
      <b val="true"/>
      <sz val="11"/>
      <color rgb="FF0E86D4"/>
      <name val="Arial"/>
      <family val="0"/>
      <charset val="1"/>
    </font>
    <font>
      <b val="true"/>
      <sz val="9"/>
      <color rgb="FF1B1E23"/>
      <name val="Arial"/>
      <family val="0"/>
      <charset val="1"/>
    </font>
  </fonts>
  <fills count="4">
    <fill>
      <patternFill patternType="none"/>
    </fill>
    <fill>
      <patternFill patternType="gray125"/>
    </fill>
    <fill>
      <patternFill patternType="solid">
        <fgColor rgb="FF1B1E23"/>
        <bgColor rgb="FF333300"/>
      </patternFill>
    </fill>
    <fill>
      <patternFill patternType="solid">
        <fgColor rgb="FFEAF4FC"/>
        <bgColor rgb="FFE6F4EA"/>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0" fillId="2"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5" fontId="13" fillId="0" borderId="0" xfId="0" applyFont="true" applyBorder="false" applyAlignment="true" applyProtection="false">
      <alignment horizontal="left" vertical="bottom" textRotation="0" wrapText="false" indent="0" shrinkToFit="false"/>
      <protection locked="true" hidden="false"/>
    </xf>
    <xf numFmtId="166" fontId="13" fillId="0" borderId="0" xfId="0" applyFont="true" applyBorder="false" applyAlignment="true" applyProtection="false">
      <alignment horizontal="left" vertical="bottom" textRotation="0" wrapText="false" indent="0" shrinkToFit="false"/>
      <protection locked="true" hidden="false"/>
    </xf>
    <xf numFmtId="165" fontId="14" fillId="0" borderId="0" xfId="0" applyFont="true" applyBorder="false" applyAlignment="true" applyProtection="false">
      <alignment horizontal="left" vertical="bottom" textRotation="0" wrapText="false" indent="0" shrinkToFit="false"/>
      <protection locked="true" hidden="false"/>
    </xf>
    <xf numFmtId="167" fontId="14" fillId="0" borderId="0" xfId="0" applyFont="true" applyBorder="false" applyAlignment="true" applyProtection="false">
      <alignment horizontal="left" vertical="bottom" textRotation="0" wrapText="false" indent="0" shrinkToFit="false"/>
      <protection locked="true" hidden="false"/>
    </xf>
    <xf numFmtId="166" fontId="14" fillId="0" borderId="0" xfId="0" applyFont="true" applyBorder="false" applyAlignment="true" applyProtection="false">
      <alignment horizontal="left"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20" fillId="0" borderId="1" xfId="0" applyFont="true" applyBorder="true" applyAlignment="false" applyProtection="false">
      <alignment horizontal="general" vertical="bottom" textRotation="0" wrapText="false" indent="0" shrinkToFit="false"/>
      <protection locked="true" hidden="false"/>
    </xf>
    <xf numFmtId="164" fontId="16" fillId="2" borderId="1" xfId="0" applyFont="true" applyBorder="true" applyAlignment="true" applyProtection="false">
      <alignment horizontal="general" vertical="center" textRotation="0" wrapText="true" indent="0" shrinkToFit="false"/>
      <protection locked="true" hidden="false"/>
    </xf>
    <xf numFmtId="164" fontId="21"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6" fontId="11" fillId="0" borderId="1" xfId="0" applyFont="true" applyBorder="true" applyAlignment="true" applyProtection="false">
      <alignment horizontal="general" vertical="top" textRotation="0" wrapText="true" indent="0" shrinkToFit="false"/>
      <protection locked="true" hidden="false"/>
    </xf>
    <xf numFmtId="164" fontId="20" fillId="0" borderId="1" xfId="0" applyFont="true" applyBorder="true" applyAlignment="true" applyProtection="false">
      <alignment horizontal="general" vertical="top" textRotation="0" wrapText="true" indent="0" shrinkToFit="false"/>
      <protection locked="true" hidden="false"/>
    </xf>
    <xf numFmtId="166" fontId="20" fillId="0" borderId="1" xfId="0" applyFont="true" applyBorder="true" applyAlignment="true" applyProtection="false">
      <alignment horizontal="general" vertical="top" textRotation="0" wrapText="true" indent="0" shrinkToFit="false"/>
      <protection locked="true" hidden="false"/>
    </xf>
    <xf numFmtId="168" fontId="11" fillId="0" borderId="1" xfId="0" applyFont="true" applyBorder="true" applyAlignment="true" applyProtection="false">
      <alignment horizontal="general" vertical="top" textRotation="0" wrapText="true" indent="0" shrinkToFit="false"/>
      <protection locked="true" hidden="false"/>
    </xf>
    <xf numFmtId="169" fontId="11" fillId="0" borderId="1" xfId="0" applyFont="true" applyBorder="true" applyAlignment="true" applyProtection="false">
      <alignment horizontal="center" vertical="center" textRotation="0" wrapText="false" indent="0" shrinkToFit="false"/>
      <protection locked="true" hidden="false"/>
    </xf>
    <xf numFmtId="168" fontId="20" fillId="0" borderId="1" xfId="0" applyFont="true" applyBorder="true" applyAlignment="true" applyProtection="false">
      <alignment horizontal="general" vertical="top" textRotation="0" wrapText="true" indent="0" shrinkToFit="false"/>
      <protection locked="true" hidden="false"/>
    </xf>
    <xf numFmtId="164" fontId="20" fillId="0" borderId="1" xfId="0" applyFont="true" applyBorder="true" applyAlignment="true" applyProtection="false">
      <alignment horizontal="center" vertical="center" textRotation="0" wrapText="false" indent="0" shrinkToFit="false"/>
      <protection locked="true" hidden="false"/>
    </xf>
    <xf numFmtId="166" fontId="11" fillId="0" borderId="1" xfId="0" applyFont="true" applyBorder="true" applyAlignment="true" applyProtection="false">
      <alignment horizontal="center" vertical="center" textRotation="0" wrapText="false" indent="0" shrinkToFit="false"/>
      <protection locked="true" hidden="false"/>
    </xf>
    <xf numFmtId="165" fontId="11"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6" fontId="20" fillId="0" borderId="1" xfId="0" applyFont="true" applyBorder="true" applyAlignment="true" applyProtection="false">
      <alignment horizontal="center" vertical="center" textRotation="0" wrapText="false" indent="0" shrinkToFit="false"/>
      <protection locked="true" hidden="false"/>
    </xf>
    <xf numFmtId="165" fontId="20" fillId="0" borderId="1" xfId="0" applyFont="true" applyBorder="true" applyAlignment="true" applyProtection="false">
      <alignment horizontal="center" vertical="center"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true" applyProtection="false">
      <alignment horizontal="center" vertical="center" textRotation="0" wrapText="false" indent="0" shrinkToFit="false"/>
      <protection locked="true" hidden="false"/>
    </xf>
    <xf numFmtId="167" fontId="0" fillId="0" borderId="1" xfId="0" applyFont="false" applyBorder="true" applyAlignment="true" applyProtection="false">
      <alignment horizontal="center" vertical="center" textRotation="0" wrapText="false" indent="0" shrinkToFit="false"/>
      <protection locked="true" hidden="false"/>
    </xf>
    <xf numFmtId="166" fontId="23" fillId="0" borderId="0" xfId="0" applyFont="true" applyBorder="false" applyAlignment="false" applyProtection="false">
      <alignment horizontal="general" vertical="bottom" textRotation="0" wrapText="false" indent="0" shrinkToFit="false"/>
      <protection locked="true" hidden="false"/>
    </xf>
    <xf numFmtId="169" fontId="23" fillId="0" borderId="0" xfId="0" applyFont="true" applyBorder="false" applyAlignment="false" applyProtection="false">
      <alignment horizontal="general" vertical="bottom" textRotation="0" wrapText="false" indent="0" shrinkToFit="false"/>
      <protection locked="true" hidden="false"/>
    </xf>
    <xf numFmtId="167" fontId="24" fillId="0" borderId="0" xfId="0" applyFont="true" applyBorder="false" applyAlignment="false" applyProtection="false">
      <alignment horizontal="general" vertical="bottom" textRotation="0" wrapText="false" indent="0" shrinkToFit="false"/>
      <protection locked="true" hidden="false"/>
    </xf>
    <xf numFmtId="167" fontId="20" fillId="0" borderId="1" xfId="0" applyFont="true" applyBorder="true" applyAlignment="true" applyProtection="false">
      <alignment horizontal="center" vertical="center" textRotation="0" wrapText="false" indent="0" shrinkToFit="false"/>
      <protection locked="true" hidden="false"/>
    </xf>
    <xf numFmtId="164" fontId="25" fillId="3" borderId="1" xfId="0" applyFont="true" applyBorder="true" applyAlignment="false" applyProtection="false">
      <alignment horizontal="general" vertical="bottom" textRotation="0" wrapText="false" indent="0" shrinkToFit="false"/>
      <protection locked="true" hidden="false"/>
    </xf>
    <xf numFmtId="164" fontId="26" fillId="3" borderId="1" xfId="0" applyFont="true" applyBorder="true" applyAlignment="false" applyProtection="false">
      <alignment horizontal="general" vertical="bottom" textRotation="0" wrapText="false" indent="0" shrinkToFit="false"/>
      <protection locked="true" hidden="false"/>
    </xf>
    <xf numFmtId="170" fontId="0" fillId="0" borderId="1" xfId="0" applyFont="fals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center" vertical="center"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E6F4EA"/>
        </patternFill>
      </fill>
    </dxf>
    <dxf>
      <font>
        <name val="Arial"/>
        <charset val="1"/>
        <family val="0"/>
        <b val="1"/>
        <color rgb="FFE0151B"/>
        <sz val="9"/>
      </font>
      <fill>
        <patternFill>
          <bgColor rgb="FFFDEAEA"/>
        </patternFill>
      </fill>
    </dxf>
    <dxf>
      <fill>
        <patternFill>
          <bgColor rgb="FFFFF3CD"/>
        </patternFill>
      </fill>
    </dxf>
  </dxfs>
  <colors>
    <indexedColors>
      <rgbColor rgb="FF000000"/>
      <rgbColor rgb="FFFFFFFF"/>
      <rgbColor rgb="FFE0151B"/>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C0504D"/>
      <rgbColor rgb="FFFFF3CD"/>
      <rgbColor rgb="FFE6F4EA"/>
      <rgbColor rgb="FF660066"/>
      <rgbColor rgb="FFFF8080"/>
      <rgbColor rgb="FF0E86D4"/>
      <rgbColor rgb="FFD9D9D9"/>
      <rgbColor rgb="FF000080"/>
      <rgbColor rgb="FFFF00FF"/>
      <rgbColor rgb="FFFFFF00"/>
      <rgbColor rgb="FF00FFFF"/>
      <rgbColor rgb="FF800080"/>
      <rgbColor rgb="FF800000"/>
      <rgbColor rgb="FF008080"/>
      <rgbColor rgb="FF0000FF"/>
      <rgbColor rgb="FF00CCFF"/>
      <rgbColor rgb="FFEAF4FC"/>
      <rgbColor rgb="FFCCFFCC"/>
      <rgbColor rgb="FFFDEAEA"/>
      <rgbColor rgb="FF99CCFF"/>
      <rgbColor rgb="FFFF99CC"/>
      <rgbColor rgb="FFCC99FF"/>
      <rgbColor rgb="FFFFCC99"/>
      <rgbColor rgb="FF4F81BD"/>
      <rgbColor rgb="FF4BACC6"/>
      <rgbColor rgb="FF9BBB59"/>
      <rgbColor rgb="FFFFCC00"/>
      <rgbColor rgb="FFFF9900"/>
      <rgbColor rgb="FFFF6600"/>
      <rgbColor rgb="FF8064A2"/>
      <rgbColor rgb="FF969696"/>
      <rgbColor rgb="FF003366"/>
      <rgbColor rgb="FF339966"/>
      <rgbColor rgb="FF003300"/>
      <rgbColor rgb="FF333300"/>
      <rgbColor rgb="FF993300"/>
      <rgbColor rgb="FF993366"/>
      <rgbColor rgb="FF53555B"/>
      <rgbColor rgb="FF1B1E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Live Outstanding by Loan Product</a:t>
            </a:r>
          </a:p>
        </c:rich>
      </c:tx>
      <c:overlay val="0"/>
      <c:spPr>
        <a:noFill/>
        <a:ln w="0">
          <a:noFill/>
        </a:ln>
      </c:spPr>
    </c:title>
    <c:autoTitleDeleted val="0"/>
    <c:plotArea>
      <c:pieChart>
        <c:varyColors val="1"/>
        <c:ser>
          <c:idx val="0"/>
          <c:order val="0"/>
          <c:tx>
            <c:strRef>
              <c:f>DASHBOARD!B13</c:f>
              <c:strCache>
                <c:ptCount val="1"/>
                <c:pt idx="0">
                  <c:v>Outstanding (UGX)</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Pt>
            <c:idx val="4"/>
            <c:spPr>
              <a:solidFill>
                <a:srgbClr val="4bacc6"/>
              </a:solidFill>
              <a:ln w="0">
                <a:noFill/>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dLbl>
              <c:idx val="2"/>
              <c:txPr>
                <a:bodyPr wrap="none"/>
                <a:lstStyle/>
                <a:p>
                  <a:pPr>
                    <a:defRPr b="0" sz="1000" spc="-1" strike="noStrike">
                      <a:latin typeface="Arial"/>
                    </a:defRPr>
                  </a:pPr>
                </a:p>
              </c:txPr>
              <c:showLegendKey val="0"/>
              <c:showVal val="0"/>
              <c:showCatName val="0"/>
              <c:showSerName val="0"/>
              <c:showPercent val="0"/>
              <c:separator> </c:separator>
            </c:dLbl>
            <c:dLbl>
              <c:idx val="3"/>
              <c:txPr>
                <a:bodyPr wrap="none"/>
                <a:lstStyle/>
                <a:p>
                  <a:pPr>
                    <a:defRPr b="0" sz="1000" spc="-1" strike="noStrike">
                      <a:latin typeface="Arial"/>
                    </a:defRPr>
                  </a:pPr>
                </a:p>
              </c:txPr>
              <c:showLegendKey val="0"/>
              <c:showVal val="0"/>
              <c:showCatName val="0"/>
              <c:showSerName val="0"/>
              <c:showPercent val="0"/>
              <c:separator> </c:separator>
            </c:dLbl>
            <c:dLbl>
              <c:idx val="4"/>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dLbls>
          <c:cat>
            <c:strRef>
              <c:f>DASHBOARD!$A$14:$A$18</c:f>
              <c:strCache>
                <c:ptCount val="5"/>
                <c:pt idx="0">
                  <c:v>Business Growth Loan</c:v>
                </c:pt>
                <c:pt idx="1">
                  <c:v>Agribusiness Loan</c:v>
                </c:pt>
                <c:pt idx="2">
                  <c:v>Emergency / Salary Advance</c:v>
                </c:pt>
                <c:pt idx="3">
                  <c:v>0</c:v>
                </c:pt>
                <c:pt idx="4">
                  <c:v>0</c:v>
                </c:pt>
              </c:strCache>
            </c:strRef>
          </c:cat>
          <c:val>
            <c:numRef>
              <c:f>DASHBOARD!$B$14:$B$18</c:f>
              <c:numCache>
                <c:formatCode>#,##0</c:formatCode>
                <c:ptCount val="5"/>
                <c:pt idx="0">
                  <c:v>5202840.79737709</c:v>
                </c:pt>
                <c:pt idx="1">
                  <c:v>0</c:v>
                </c:pt>
                <c:pt idx="2">
                  <c:v>0</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Portfolio-at-Risk Ageing</a:t>
            </a:r>
          </a:p>
        </c:rich>
      </c:tx>
      <c:overlay val="0"/>
      <c:spPr>
        <a:noFill/>
        <a:ln w="0">
          <a:noFill/>
        </a:ln>
      </c:spPr>
    </c:title>
    <c:autoTitleDeleted val="0"/>
    <c:plotArea>
      <c:barChart>
        <c:barDir val="col"/>
        <c:grouping val="clustered"/>
        <c:varyColors val="0"/>
        <c:ser>
          <c:idx val="0"/>
          <c:order val="0"/>
          <c:tx>
            <c:strRef>
              <c:f>DASHBOARD!E13</c:f>
              <c:strCache>
                <c:ptCount val="1"/>
                <c:pt idx="0">
                  <c:v>Outstanding (UGX)</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DASHBOARD!$D$14:$D$19</c:f>
              <c:strCache>
                <c:ptCount val="6"/>
                <c:pt idx="0">
                  <c:v>Current</c:v>
                </c:pt>
                <c:pt idx="1">
                  <c:v>1-30 Days</c:v>
                </c:pt>
                <c:pt idx="2">
                  <c:v>31-60 Days</c:v>
                </c:pt>
                <c:pt idx="3">
                  <c:v>61-90 Days</c:v>
                </c:pt>
                <c:pt idx="4">
                  <c:v>90+ Days (PAR90)</c:v>
                </c:pt>
                <c:pt idx="5">
                  <c:v>Written Off</c:v>
                </c:pt>
              </c:strCache>
            </c:strRef>
          </c:cat>
          <c:val>
            <c:numRef>
              <c:f>DASHBOARD!$E$14:$E$19</c:f>
              <c:numCache>
                <c:formatCode>#,##0</c:formatCode>
                <c:ptCount val="6"/>
                <c:pt idx="0">
                  <c:v>0</c:v>
                </c:pt>
                <c:pt idx="1">
                  <c:v>0</c:v>
                </c:pt>
                <c:pt idx="2">
                  <c:v>0</c:v>
                </c:pt>
                <c:pt idx="3">
                  <c:v>0</c:v>
                </c:pt>
                <c:pt idx="4">
                  <c:v>0</c:v>
                </c:pt>
                <c:pt idx="5">
                  <c:v>0</c:v>
                </c:pt>
              </c:numCache>
            </c:numRef>
          </c:val>
        </c:ser>
        <c:gapWidth val="150"/>
        <c:overlap val="0"/>
        <c:axId val="13491835"/>
        <c:axId val="71463742"/>
      </c:barChart>
      <c:catAx>
        <c:axId val="1349183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1463742"/>
        <c:crosses val="autoZero"/>
        <c:auto val="1"/>
        <c:lblAlgn val="ctr"/>
        <c:lblOffset val="100"/>
        <c:noMultiLvlLbl val="0"/>
      </c:catAx>
      <c:valAx>
        <c:axId val="7146374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Outstanding (UGX)</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49183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Live Outstanding by Branch</a:t>
            </a:r>
          </a:p>
        </c:rich>
      </c:tx>
      <c:overlay val="0"/>
      <c:spPr>
        <a:noFill/>
        <a:ln w="0">
          <a:noFill/>
        </a:ln>
      </c:spPr>
    </c:title>
    <c:autoTitleDeleted val="0"/>
    <c:plotArea>
      <c:barChart>
        <c:barDir val="bar"/>
        <c:grouping val="clustered"/>
        <c:varyColors val="0"/>
        <c:ser>
          <c:idx val="0"/>
          <c:order val="0"/>
          <c:tx>
            <c:strRef>
              <c:f>DASHBOARD!H13</c:f>
              <c:strCache>
                <c:ptCount val="1"/>
                <c:pt idx="0">
                  <c:v>Outstanding (UGX)</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DASHBOARD!$G$14:$G$23</c:f>
              <c:strCache>
                <c:ptCount val="10"/>
                <c:pt idx="0">
                  <c:v>Kampala (Head Office)</c:v>
                </c:pt>
                <c:pt idx="1">
                  <c:v>Jinja</c:v>
                </c:pt>
                <c:pt idx="2">
                  <c:v>Mbarara</c:v>
                </c:pt>
                <c:pt idx="3">
                  <c:v>Gulu</c:v>
                </c:pt>
                <c:pt idx="4">
                  <c:v>Mbale</c:v>
                </c:pt>
                <c:pt idx="5">
                  <c:v>Arua</c:v>
                </c:pt>
                <c:pt idx="6">
                  <c:v>Fort Portal</c:v>
                </c:pt>
                <c:pt idx="7">
                  <c:v>Hoima</c:v>
                </c:pt>
                <c:pt idx="8">
                  <c:v>Adjumani</c:v>
                </c:pt>
                <c:pt idx="9">
                  <c:v>Other</c:v>
                </c:pt>
              </c:strCache>
            </c:strRef>
          </c:cat>
          <c:val>
            <c:numRef>
              <c:f>DASHBOARD!$H$14:$H$23</c:f>
              <c:numCache>
                <c:formatCode>#,##0</c:formatCode>
                <c:ptCount val="10"/>
                <c:pt idx="0">
                  <c:v>5202840.79737709</c:v>
                </c:pt>
                <c:pt idx="1">
                  <c:v>0</c:v>
                </c:pt>
                <c:pt idx="2">
                  <c:v>0</c:v>
                </c:pt>
                <c:pt idx="3">
                  <c:v>0</c:v>
                </c:pt>
                <c:pt idx="4">
                  <c:v>0</c:v>
                </c:pt>
                <c:pt idx="5">
                  <c:v>0</c:v>
                </c:pt>
                <c:pt idx="6">
                  <c:v>0</c:v>
                </c:pt>
                <c:pt idx="7">
                  <c:v>0</c:v>
                </c:pt>
                <c:pt idx="8">
                  <c:v>0</c:v>
                </c:pt>
                <c:pt idx="9">
                  <c:v>0</c:v>
                </c:pt>
              </c:numCache>
            </c:numRef>
          </c:val>
        </c:ser>
        <c:gapWidth val="150"/>
        <c:overlap val="0"/>
        <c:axId val="66290221"/>
        <c:axId val="49881925"/>
      </c:barChart>
      <c:catAx>
        <c:axId val="66290221"/>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Outstanding (UGX)</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881925"/>
        <c:crosses val="autoZero"/>
        <c:auto val="1"/>
        <c:lblAlgn val="ctr"/>
        <c:lblOffset val="100"/>
        <c:noMultiLvlLbl val="0"/>
      </c:catAx>
      <c:valAx>
        <c:axId val="49881925"/>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629022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xdr:row>
      <xdr:rowOff>1127880</xdr:rowOff>
    </xdr:from>
    <xdr:to>
      <xdr:col>4</xdr:col>
      <xdr:colOff>372600</xdr:colOff>
      <xdr:row>16</xdr:row>
      <xdr:rowOff>98280</xdr:rowOff>
    </xdr:to>
    <xdr:graphicFrame>
      <xdr:nvGraphicFramePr>
        <xdr:cNvPr id="0" name="Chart 1"/>
        <xdr:cNvGraphicFramePr/>
      </xdr:nvGraphicFramePr>
      <xdr:xfrm>
        <a:off x="0" y="4781520"/>
        <a:ext cx="43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6</xdr:row>
      <xdr:rowOff>1127880</xdr:rowOff>
    </xdr:from>
    <xdr:to>
      <xdr:col>7</xdr:col>
      <xdr:colOff>1092600</xdr:colOff>
      <xdr:row>16</xdr:row>
      <xdr:rowOff>98280</xdr:rowOff>
    </xdr:to>
    <xdr:graphicFrame>
      <xdr:nvGraphicFramePr>
        <xdr:cNvPr id="1" name="Chart 2"/>
        <xdr:cNvGraphicFramePr/>
      </xdr:nvGraphicFramePr>
      <xdr:xfrm>
        <a:off x="2678400" y="4781520"/>
        <a:ext cx="503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19</xdr:row>
      <xdr:rowOff>95040</xdr:rowOff>
    </xdr:from>
    <xdr:to>
      <xdr:col>6</xdr:col>
      <xdr:colOff>543600</xdr:colOff>
      <xdr:row>38</xdr:row>
      <xdr:rowOff>75240</xdr:rowOff>
    </xdr:to>
    <xdr:graphicFrame>
      <xdr:nvGraphicFramePr>
        <xdr:cNvPr id="2" name="Chart 3"/>
        <xdr:cNvGraphicFramePr/>
      </xdr:nvGraphicFramePr>
      <xdr:xfrm>
        <a:off x="0" y="8210520"/>
        <a:ext cx="5759640" cy="35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Jopetnah-Loan-Management-System.xlsx" TargetMode="External"/><Relationship Id="rId2" Type="http://schemas.openxmlformats.org/officeDocument/2006/relationships/hyperlink" Target="Jopetnah-Loan-Management-System.xlsx" TargetMode="External"/><Relationship Id="rId3" Type="http://schemas.openxmlformats.org/officeDocument/2006/relationships/hyperlink" Target="Jopetnah-Loan-Management-System.xlsx" TargetMode="External"/><Relationship Id="rId4" Type="http://schemas.openxmlformats.org/officeDocument/2006/relationships/hyperlink" Target="Jopetnah-Loan-Management-System.xlsx" TargetMode="External"/><Relationship Id="rId5" Type="http://schemas.openxmlformats.org/officeDocument/2006/relationships/hyperlink" Target="Jopetnah-Loan-Management-System.xlsx" TargetMode="External"/><Relationship Id="rId6" Type="http://schemas.openxmlformats.org/officeDocument/2006/relationships/hyperlink" Target="Jopetnah-Loan-Management-System.xlsx" TargetMode="External"/><Relationship Id="rId7" Type="http://schemas.openxmlformats.org/officeDocument/2006/relationships/hyperlink" Target="Jopetnah-Loan-Management-System.xlsx" TargetMode="External"/><Relationship Id="rId8" Type="http://schemas.openxmlformats.org/officeDocument/2006/relationships/hyperlink" Target="Jopetnah-Loan-Management-System.xlsx" TargetMode="External"/><Relationship Id="rId9" Type="http://schemas.openxmlformats.org/officeDocument/2006/relationships/hyperlink" Target="Jopetnah-Loan-Management-System.xlsx" TargetMode="External"/><Relationship Id="rId10" Type="http://schemas.openxmlformats.org/officeDocument/2006/relationships/hyperlink" Target="Jopetnah-Loan-Management-System.xlsx" TargetMode="External"/><Relationship Id="rId11" Type="http://schemas.openxmlformats.org/officeDocument/2006/relationships/hyperlink" Target="Jopetnah-Loan-Management-System.xlsx" TargetMode="External"/><Relationship Id="rId12" Type="http://schemas.openxmlformats.org/officeDocument/2006/relationships/hyperlink" Target="Jopetnah-Loan-Management-System.xlsx" TargetMode="Externa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3" min="3" style="0" width="56"/>
    <col collapsed="false" customWidth="true" hidden="false" outlineLevel="0" max="4" min="4" style="0" width="20"/>
  </cols>
  <sheetData>
    <row r="1" customFormat="false" ht="19.7" hidden="false" customHeight="false" outlineLevel="0" collapsed="false">
      <c r="A1" s="1" t="s">
        <v>0</v>
      </c>
    </row>
    <row r="2" customFormat="false" ht="19.5" hidden="false" customHeight="true" outlineLevel="0" collapsed="false">
      <c r="A2" s="2" t="s">
        <v>1</v>
      </c>
      <c r="B2" s="2"/>
      <c r="C2" s="2"/>
      <c r="D2" s="2"/>
    </row>
    <row r="4" customFormat="false" ht="15" hidden="false" customHeight="true" outlineLevel="0" collapsed="false">
      <c r="A4" s="3" t="s">
        <v>2</v>
      </c>
      <c r="B4" s="3"/>
      <c r="C4" s="3"/>
      <c r="D4" s="3"/>
    </row>
    <row r="5" customFormat="false" ht="72" hidden="false" customHeight="true" outlineLevel="0" collapsed="false">
      <c r="A5" s="4" t="s">
        <v>3</v>
      </c>
      <c r="B5" s="4"/>
      <c r="C5" s="4"/>
      <c r="D5" s="4"/>
    </row>
    <row r="7" customFormat="false" ht="15" hidden="false" customHeight="true" outlineLevel="0" collapsed="false">
      <c r="A7" s="3" t="s">
        <v>4</v>
      </c>
      <c r="B7" s="3"/>
      <c r="C7" s="3"/>
      <c r="D7" s="3"/>
    </row>
    <row r="8" customFormat="false" ht="23.85" hidden="false" customHeight="true" outlineLevel="0" collapsed="false">
      <c r="A8" s="4" t="s">
        <v>5</v>
      </c>
      <c r="B8" s="4"/>
      <c r="C8" s="4"/>
      <c r="D8" s="4"/>
    </row>
    <row r="9" customFormat="false" ht="23.85" hidden="false" customHeight="true" outlineLevel="0" collapsed="false">
      <c r="A9" s="4" t="s">
        <v>6</v>
      </c>
      <c r="B9" s="4"/>
      <c r="C9" s="4"/>
      <c r="D9" s="4"/>
    </row>
    <row r="10" customFormat="false" ht="23.85" hidden="false" customHeight="true" outlineLevel="0" collapsed="false">
      <c r="A10" s="4" t="s">
        <v>7</v>
      </c>
      <c r="B10" s="4"/>
      <c r="C10" s="4"/>
      <c r="D10" s="4"/>
    </row>
    <row r="11" customFormat="false" ht="15" hidden="false" customHeight="true" outlineLevel="0" collapsed="false">
      <c r="A11" s="4" t="s">
        <v>8</v>
      </c>
      <c r="B11" s="4"/>
      <c r="C11" s="4"/>
      <c r="D11" s="4"/>
    </row>
    <row r="12" customFormat="false" ht="27.75" hidden="false" customHeight="true" outlineLevel="0" collapsed="false">
      <c r="A12" s="4" t="s">
        <v>9</v>
      </c>
      <c r="B12" s="4"/>
      <c r="C12" s="4"/>
      <c r="D12" s="4"/>
    </row>
    <row r="14" customFormat="false" ht="15" hidden="false" customHeight="true" outlineLevel="0" collapsed="false">
      <c r="A14" s="3" t="s">
        <v>10</v>
      </c>
      <c r="B14" s="3"/>
      <c r="C14" s="3"/>
      <c r="D14" s="3"/>
    </row>
    <row r="15" customFormat="false" ht="72" hidden="false" customHeight="true" outlineLevel="0" collapsed="false">
      <c r="A15" s="4" t="s">
        <v>11</v>
      </c>
      <c r="B15" s="4"/>
      <c r="C15" s="4"/>
      <c r="D15" s="4"/>
    </row>
    <row r="17" customFormat="false" ht="15" hidden="false" customHeight="true" outlineLevel="0" collapsed="false">
      <c r="A17" s="3" t="s">
        <v>12</v>
      </c>
      <c r="B17" s="3"/>
      <c r="C17" s="3"/>
      <c r="D17" s="3"/>
    </row>
    <row r="18" customFormat="false" ht="15" hidden="false" customHeight="false" outlineLevel="0" collapsed="false">
      <c r="A18" s="5" t="s">
        <v>13</v>
      </c>
      <c r="B18" s="5" t="s">
        <v>14</v>
      </c>
      <c r="C18" s="5" t="s">
        <v>15</v>
      </c>
      <c r="D18" s="5" t="s">
        <v>16</v>
      </c>
    </row>
    <row r="19" customFormat="false" ht="15" hidden="false" customHeight="false" outlineLevel="0" collapsed="false">
      <c r="A19" s="6" t="s">
        <v>17</v>
      </c>
      <c r="B19" s="6" t="s">
        <v>18</v>
      </c>
      <c r="C19" s="6" t="s">
        <v>19</v>
      </c>
      <c r="D19" s="6" t="s">
        <v>20</v>
      </c>
    </row>
    <row r="21" customFormat="false" ht="15" hidden="false" customHeight="true" outlineLevel="0" collapsed="false">
      <c r="A21" s="3" t="s">
        <v>21</v>
      </c>
      <c r="B21" s="3"/>
      <c r="C21" s="3"/>
      <c r="D21" s="3"/>
    </row>
    <row r="22" customFormat="false" ht="15" hidden="false" customHeight="false" outlineLevel="0" collapsed="false">
      <c r="A22" s="5" t="s">
        <v>22</v>
      </c>
      <c r="B22" s="5" t="s">
        <v>23</v>
      </c>
      <c r="C22" s="5" t="s">
        <v>24</v>
      </c>
    </row>
    <row r="23" customFormat="false" ht="23.85" hidden="false" customHeight="false" outlineLevel="0" collapsed="false">
      <c r="A23" s="7" t="s">
        <v>25</v>
      </c>
      <c r="B23" s="8" t="s">
        <v>26</v>
      </c>
      <c r="C23" s="6" t="s">
        <v>27</v>
      </c>
    </row>
    <row r="24" customFormat="false" ht="15" hidden="false" customHeight="false" outlineLevel="0" collapsed="false">
      <c r="A24" s="7" t="s">
        <v>28</v>
      </c>
      <c r="B24" s="8" t="s">
        <v>29</v>
      </c>
      <c r="C24" s="6" t="s">
        <v>30</v>
      </c>
    </row>
    <row r="25" customFormat="false" ht="23.85" hidden="false" customHeight="false" outlineLevel="0" collapsed="false">
      <c r="A25" s="7" t="s">
        <v>31</v>
      </c>
      <c r="B25" s="8" t="s">
        <v>32</v>
      </c>
      <c r="C25" s="6" t="s">
        <v>33</v>
      </c>
    </row>
    <row r="26" customFormat="false" ht="15" hidden="false" customHeight="false" outlineLevel="0" collapsed="false">
      <c r="A26" s="7" t="s">
        <v>34</v>
      </c>
      <c r="B26" s="8" t="s">
        <v>35</v>
      </c>
      <c r="C26" s="6" t="s">
        <v>36</v>
      </c>
    </row>
    <row r="27" customFormat="false" ht="15" hidden="false" customHeight="false" outlineLevel="0" collapsed="false">
      <c r="A27" s="7" t="s">
        <v>37</v>
      </c>
      <c r="B27" s="8" t="s">
        <v>38</v>
      </c>
      <c r="C27" s="6" t="s">
        <v>39</v>
      </c>
    </row>
    <row r="28" customFormat="false" ht="23.85" hidden="false" customHeight="false" outlineLevel="0" collapsed="false">
      <c r="A28" s="7" t="s">
        <v>40</v>
      </c>
      <c r="B28" s="8" t="s">
        <v>41</v>
      </c>
      <c r="C28" s="6" t="s">
        <v>42</v>
      </c>
    </row>
    <row r="29" customFormat="false" ht="23.85" hidden="false" customHeight="false" outlineLevel="0" collapsed="false">
      <c r="A29" s="7" t="s">
        <v>43</v>
      </c>
      <c r="B29" s="8" t="s">
        <v>44</v>
      </c>
      <c r="C29" s="6" t="s">
        <v>45</v>
      </c>
    </row>
    <row r="30" customFormat="false" ht="15" hidden="false" customHeight="false" outlineLevel="0" collapsed="false">
      <c r="A30" s="7" t="s">
        <v>46</v>
      </c>
      <c r="B30" s="8" t="s">
        <v>47</v>
      </c>
      <c r="C30" s="6" t="s">
        <v>48</v>
      </c>
    </row>
    <row r="31" customFormat="false" ht="23.85" hidden="false" customHeight="false" outlineLevel="0" collapsed="false">
      <c r="A31" s="7" t="s">
        <v>49</v>
      </c>
      <c r="B31" s="8" t="s">
        <v>50</v>
      </c>
      <c r="C31" s="6" t="s">
        <v>51</v>
      </c>
    </row>
    <row r="32" customFormat="false" ht="15" hidden="false" customHeight="false" outlineLevel="0" collapsed="false">
      <c r="A32" s="7" t="s">
        <v>52</v>
      </c>
      <c r="B32" s="8" t="s">
        <v>53</v>
      </c>
      <c r="C32" s="6" t="s">
        <v>54</v>
      </c>
    </row>
    <row r="33" customFormat="false" ht="15" hidden="false" customHeight="false" outlineLevel="0" collapsed="false">
      <c r="A33" s="7" t="s">
        <v>55</v>
      </c>
      <c r="B33" s="8" t="s">
        <v>56</v>
      </c>
      <c r="C33" s="6" t="s">
        <v>57</v>
      </c>
    </row>
    <row r="34" customFormat="false" ht="23.85" hidden="false" customHeight="false" outlineLevel="0" collapsed="false">
      <c r="A34" s="7" t="s">
        <v>58</v>
      </c>
      <c r="B34" s="8" t="s">
        <v>59</v>
      </c>
      <c r="C34" s="6" t="s">
        <v>60</v>
      </c>
    </row>
  </sheetData>
  <mergeCells count="13">
    <mergeCell ref="A2:D2"/>
    <mergeCell ref="A4:D4"/>
    <mergeCell ref="A5:D5"/>
    <mergeCell ref="A7:D7"/>
    <mergeCell ref="A8:D8"/>
    <mergeCell ref="A9:D9"/>
    <mergeCell ref="A10:D10"/>
    <mergeCell ref="A11:D11"/>
    <mergeCell ref="A12:D12"/>
    <mergeCell ref="A14:D14"/>
    <mergeCell ref="A15:D15"/>
    <mergeCell ref="A17:D17"/>
    <mergeCell ref="A21:D21"/>
  </mergeCells>
  <hyperlinks>
    <hyperlink ref="A23" r:id="rId1" location="'PRODUCTS'!A1" display="PRODUCTS"/>
    <hyperlink ref="A24" r:id="rId2" location="'BORROWERS'!A1" display="BORROWERS"/>
    <hyperlink ref="A25" r:id="rId3" location="'GUARANTORS'!A1" display="GUARANTORS"/>
    <hyperlink ref="A26" r:id="rId4" location="'COLLATERAL'!A1" display="COLLATERAL"/>
    <hyperlink ref="A27" r:id="rId5" location="'APPLICATIONS'!A1" display="APPLICATIONS"/>
    <hyperlink ref="A28" r:id="rId6" location="'PORTFOLIO'!A1" display="PORTFOLIO"/>
    <hyperlink ref="A29" r:id="rId7" location="'REPAYMENTS'!A1" display="REPAYMENTS"/>
    <hyperlink ref="A30" r:id="rId8" location="'ARREARS-PAR'!A1" display="ARREARS-PAR"/>
    <hyperlink ref="A31" r:id="rId9" location="'OFFICER-PERF'!A1" display="OFFICER-PERF"/>
    <hyperlink ref="A32" r:id="rId10" location="'WRITEOFFS'!A1" display="WRITEOFFS"/>
    <hyperlink ref="A33" r:id="rId11" location="'AMORT'!A1" display="AMORT"/>
    <hyperlink ref="A34" r:id="rId12" location="'DASHBOARD'!A1" display="DASHBOARD"/>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6"/>
    <col collapsed="false" customWidth="true" hidden="false" outlineLevel="0" max="3" min="3" style="0" width="2"/>
    <col collapsed="false" customWidth="true" hidden="false" outlineLevel="0" max="4" min="4" style="0" width="18"/>
    <col collapsed="false" customWidth="true" hidden="false" outlineLevel="0" max="5" min="5" style="0" width="16"/>
    <col collapsed="false" customWidth="true" hidden="false" outlineLevel="0" max="6" min="6" style="0" width="2"/>
    <col collapsed="false" customWidth="true" hidden="false" outlineLevel="0" max="7" min="7" style="0" width="20"/>
    <col collapsed="false" customWidth="true" hidden="false" outlineLevel="0" max="8" min="8" style="0" width="16"/>
    <col collapsed="false" customWidth="true" hidden="false" outlineLevel="0" max="10" min="9" style="0" width="2"/>
  </cols>
  <sheetData>
    <row r="1" customFormat="false" ht="16.15" hidden="false" customHeight="false" outlineLevel="0" collapsed="false">
      <c r="A1" s="9" t="s">
        <v>61</v>
      </c>
      <c r="B1" s="9"/>
      <c r="C1" s="9"/>
      <c r="D1" s="9"/>
      <c r="E1" s="9"/>
      <c r="F1" s="9"/>
      <c r="G1" s="9"/>
      <c r="H1" s="9"/>
      <c r="I1" s="9"/>
      <c r="J1" s="9"/>
    </row>
    <row r="2" customFormat="false" ht="15" hidden="false" customHeight="false" outlineLevel="0" collapsed="false">
      <c r="A2" s="10" t="s">
        <v>62</v>
      </c>
      <c r="B2" s="10"/>
      <c r="C2" s="10"/>
      <c r="D2" s="10"/>
      <c r="E2" s="10"/>
      <c r="F2" s="10"/>
      <c r="G2" s="10"/>
      <c r="H2" s="10"/>
      <c r="I2" s="10"/>
      <c r="J2" s="10"/>
    </row>
    <row r="4" customFormat="false" ht="210.4" hidden="false" customHeight="false" outlineLevel="0" collapsed="false">
      <c r="A4" s="11" t="s">
        <v>63</v>
      </c>
      <c r="C4" s="11" t="s">
        <v>64</v>
      </c>
      <c r="E4" s="11" t="s">
        <v>65</v>
      </c>
      <c r="G4" s="11" t="s">
        <v>66</v>
      </c>
      <c r="I4" s="11" t="s">
        <v>67</v>
      </c>
    </row>
    <row r="5" customFormat="false" ht="16.15" hidden="false" customHeight="false" outlineLevel="0" collapsed="false">
      <c r="A5" s="12" t="n">
        <f aca="false">COUNTIFS(BORROWERS!$B$6:$B$55,"&lt;&gt;",BORROWERS!$A$6:$A$55,"&lt;&gt;EXAMPLE")</f>
        <v>0</v>
      </c>
      <c r="C5" s="12" t="n">
        <f aca="false">COUNTIFS(PORTFOLIO!$A$6:$A$55,"&lt;&gt;",PORTFOLIO!$B$6:$B$55,"&lt;&gt;EXAMPLE")</f>
        <v>0</v>
      </c>
      <c r="E5" s="12" t="n">
        <f aca="false">COUNTIFS(PORTFOLIO!$A$6:$A$55,"&lt;&gt;",PORTFOLIO!$B$6:$B$55,"&lt;&gt;EXAMPLE",PORTFOLIO!$Z$6:$Z$55,"Active")</f>
        <v>0</v>
      </c>
      <c r="G5" s="13" t="n">
        <f aca="false">SUMIFS(PORTFOLIO!$K$6:$K$55,PORTFOLIO!$A$6:$A$55,"&lt;&gt;",PORTFOLIO!$B$6:$B$55,"&lt;&gt;EXAMPLE")</f>
        <v>0</v>
      </c>
      <c r="I5" s="13" t="n">
        <f aca="false">SUMIFS(PORTFOLIO!$U$6:$U$55,PORTFOLIO!$Z$6:$Z$55,"&lt;&gt;Written Off",PORTFOLIO!$A$6:$A$55,"&lt;&gt;",PORTFOLIO!$B$6:$B$55,"&lt;&gt;EXAMPLE")</f>
        <v>0</v>
      </c>
    </row>
    <row r="7" customFormat="false" ht="168.65" hidden="false" customHeight="false" outlineLevel="0" collapsed="false">
      <c r="A7" s="11" t="s">
        <v>68</v>
      </c>
      <c r="C7" s="11" t="s">
        <v>69</v>
      </c>
      <c r="E7" s="11" t="s">
        <v>70</v>
      </c>
      <c r="G7" s="11" t="s">
        <v>71</v>
      </c>
      <c r="I7" s="11" t="s">
        <v>72</v>
      </c>
      <c r="K7" s="11" t="s">
        <v>73</v>
      </c>
    </row>
    <row r="8" customFormat="false" ht="16.15" hidden="false" customHeight="false" outlineLevel="0" collapsed="false">
      <c r="A8" s="13" t="n">
        <f aca="false">SUMIFS(REPAYMENTS!$F$5:$F$104,REPAYMENTS!$C$5:$C$104,"&lt;&gt;",REPAYMENTS!$A$5:$A$104,"&lt;&gt;EXAMPLE")</f>
        <v>0</v>
      </c>
      <c r="C8" s="14" t="n">
        <f aca="false">COUNTIFS(PORTFOLIO!$A$6:$A$55,"&lt;&gt;",PORTFOLIO!$W$6:$W$55,"&gt;0")</f>
        <v>1</v>
      </c>
      <c r="E8" s="15" t="str">
        <f aca="false">'ARREARS-PAR'!B16</f>
        <v/>
      </c>
      <c r="G8" s="15" t="str">
        <f aca="false">'ARREARS-PAR'!B17</f>
        <v/>
      </c>
      <c r="I8" s="16" t="n">
        <f aca="false">SUMIF(WRITEOFFS!$B$6:$B$25,"&lt;&gt;",WRITEOFFS!$E$6:$E$25)</f>
        <v>0</v>
      </c>
      <c r="K8" s="13" t="str">
        <f aca="false">IFERROR(SUMIFS(PORTFOLIO!$K$6:$K$55,PORTFOLIO!$A$6:$A$55,"&lt;&gt;",PORTFOLIO!$B$6:$B$55,"&lt;&gt;EXAMPLE")/COUNTIFS(PORTFOLIO!$A$6:$A$55,"&lt;&gt;",PORTFOLIO!$B$6:$B$55,"&lt;&gt;EXAMPLE"),"")</f>
        <v/>
      </c>
    </row>
    <row r="10" customFormat="false" ht="18" hidden="false" customHeight="true" outlineLevel="0" collapsed="false">
      <c r="A10" s="17" t="s">
        <v>74</v>
      </c>
      <c r="B10" s="17"/>
      <c r="C10" s="17"/>
      <c r="D10" s="17"/>
      <c r="E10" s="17"/>
      <c r="F10" s="17"/>
      <c r="G10" s="17"/>
      <c r="H10" s="17"/>
      <c r="I10" s="17"/>
      <c r="J10" s="17"/>
    </row>
    <row r="12" customFormat="false" ht="15" hidden="false" customHeight="false" outlineLevel="0" collapsed="false">
      <c r="A12" s="18" t="s">
        <v>75</v>
      </c>
      <c r="D12" s="18" t="s">
        <v>76</v>
      </c>
      <c r="G12" s="18" t="s">
        <v>77</v>
      </c>
    </row>
    <row r="13" customFormat="false" ht="15" hidden="false" customHeight="false" outlineLevel="0" collapsed="false">
      <c r="A13" s="19" t="s">
        <v>78</v>
      </c>
      <c r="B13" s="19" t="s">
        <v>79</v>
      </c>
      <c r="D13" s="19" t="s">
        <v>80</v>
      </c>
      <c r="E13" s="19" t="s">
        <v>79</v>
      </c>
      <c r="G13" s="19" t="s">
        <v>81</v>
      </c>
      <c r="H13" s="19" t="s">
        <v>79</v>
      </c>
    </row>
    <row r="14" customFormat="false" ht="15" hidden="false" customHeight="false" outlineLevel="0" collapsed="false">
      <c r="A14" s="20" t="str">
        <f aca="false">PRODUCTS!$B$6</f>
        <v>Business Growth Loan</v>
      </c>
      <c r="B14" s="21" t="n">
        <f aca="false">IF(PRODUCTS!$B$6="","",SUMIFS(PORTFOLIO!$U$6:$U$55,PORTFOLIO!$F$6:$F$55,PRODUCTS!$B$6,PORTFOLIO!$Z$6:$Z$55,"&lt;&gt;Written Off"))</f>
        <v>5202840.79737709</v>
      </c>
      <c r="D14" s="20" t="str">
        <f aca="false">'ARREARS-PAR'!A6</f>
        <v>Current</v>
      </c>
      <c r="E14" s="21" t="n">
        <f aca="false">'ARREARS-PAR'!C6</f>
        <v>0</v>
      </c>
      <c r="G14" s="20" t="s">
        <v>82</v>
      </c>
      <c r="H14" s="21" t="n">
        <f aca="false">SUMIFS(PORTFOLIO!$U$6:$U$55,PORTFOLIO!$D$6:$D$55,"Kampala (Head Office)",PORTFOLIO!$Z$6:$Z$55,"&lt;&gt;Written Off")</f>
        <v>5202840.79737709</v>
      </c>
    </row>
    <row r="15" customFormat="false" ht="15" hidden="false" customHeight="false" outlineLevel="0" collapsed="false">
      <c r="A15" s="20" t="str">
        <f aca="false">PRODUCTS!$B$7</f>
        <v>Agribusiness Loan</v>
      </c>
      <c r="B15" s="21" t="n">
        <f aca="false">IF(PRODUCTS!$B$7="","",SUMIFS(PORTFOLIO!$U$6:$U$55,PORTFOLIO!$F$6:$F$55,PRODUCTS!$B$7,PORTFOLIO!$Z$6:$Z$55,"&lt;&gt;Written Off"))</f>
        <v>0</v>
      </c>
      <c r="D15" s="20" t="str">
        <f aca="false">'ARREARS-PAR'!A7</f>
        <v>1-30 Days</v>
      </c>
      <c r="E15" s="21" t="n">
        <f aca="false">'ARREARS-PAR'!C7</f>
        <v>0</v>
      </c>
      <c r="G15" s="20" t="s">
        <v>83</v>
      </c>
      <c r="H15" s="21" t="n">
        <f aca="false">SUMIFS(PORTFOLIO!$U$6:$U$55,PORTFOLIO!$D$6:$D$55,"Jinja",PORTFOLIO!$Z$6:$Z$55,"&lt;&gt;Written Off")</f>
        <v>0</v>
      </c>
    </row>
    <row r="16" customFormat="false" ht="15" hidden="false" customHeight="false" outlineLevel="0" collapsed="false">
      <c r="A16" s="20" t="str">
        <f aca="false">PRODUCTS!$B$8</f>
        <v>Emergency / Salary Advance</v>
      </c>
      <c r="B16" s="21" t="n">
        <f aca="false">IF(PRODUCTS!$B$8="","",SUMIFS(PORTFOLIO!$U$6:$U$55,PORTFOLIO!$F$6:$F$55,PRODUCTS!$B$8,PORTFOLIO!$Z$6:$Z$55,"&lt;&gt;Written Off"))</f>
        <v>0</v>
      </c>
      <c r="D16" s="20" t="str">
        <f aca="false">'ARREARS-PAR'!A8</f>
        <v>31-60 Days</v>
      </c>
      <c r="E16" s="21" t="n">
        <f aca="false">'ARREARS-PAR'!C8</f>
        <v>0</v>
      </c>
      <c r="G16" s="20" t="s">
        <v>84</v>
      </c>
      <c r="H16" s="21" t="n">
        <f aca="false">SUMIFS(PORTFOLIO!$U$6:$U$55,PORTFOLIO!$D$6:$D$55,"Mbarara",PORTFOLIO!$Z$6:$Z$55,"&lt;&gt;Written Off")</f>
        <v>0</v>
      </c>
    </row>
    <row r="17" customFormat="false" ht="15" hidden="false" customHeight="false" outlineLevel="0" collapsed="false">
      <c r="A17" s="20" t="n">
        <f aca="false">PRODUCTS!$B$9</f>
        <v>0</v>
      </c>
      <c r="B17" s="21" t="str">
        <f aca="false">IF(PRODUCTS!$B$9="","",SUMIFS(PORTFOLIO!$U$6:$U$55,PORTFOLIO!$F$6:$F$55,PRODUCTS!$B$9,PORTFOLIO!$Z$6:$Z$55,"&lt;&gt;Written Off"))</f>
        <v/>
      </c>
      <c r="D17" s="20" t="str">
        <f aca="false">'ARREARS-PAR'!A9</f>
        <v>61-90 Days</v>
      </c>
      <c r="E17" s="21" t="n">
        <f aca="false">'ARREARS-PAR'!C9</f>
        <v>0</v>
      </c>
      <c r="G17" s="20" t="s">
        <v>85</v>
      </c>
      <c r="H17" s="21" t="n">
        <f aca="false">SUMIFS(PORTFOLIO!$U$6:$U$55,PORTFOLIO!$D$6:$D$55,"Gulu",PORTFOLIO!$Z$6:$Z$55,"&lt;&gt;Written Off")</f>
        <v>0</v>
      </c>
    </row>
    <row r="18" customFormat="false" ht="15" hidden="false" customHeight="false" outlineLevel="0" collapsed="false">
      <c r="A18" s="20" t="n">
        <f aca="false">PRODUCTS!$B$10</f>
        <v>0</v>
      </c>
      <c r="B18" s="21" t="str">
        <f aca="false">IF(PRODUCTS!$B$10="","",SUMIFS(PORTFOLIO!$U$6:$U$55,PORTFOLIO!$F$6:$F$55,PRODUCTS!$B$10,PORTFOLIO!$Z$6:$Z$55,"&lt;&gt;Written Off"))</f>
        <v/>
      </c>
      <c r="D18" s="20" t="str">
        <f aca="false">'ARREARS-PAR'!A10</f>
        <v>90+ Days (PAR90)</v>
      </c>
      <c r="E18" s="21" t="n">
        <f aca="false">'ARREARS-PAR'!C10</f>
        <v>0</v>
      </c>
      <c r="G18" s="20" t="s">
        <v>86</v>
      </c>
      <c r="H18" s="21" t="n">
        <f aca="false">SUMIFS(PORTFOLIO!$U$6:$U$55,PORTFOLIO!$D$6:$D$55,"Mbale",PORTFOLIO!$Z$6:$Z$55,"&lt;&gt;Written Off")</f>
        <v>0</v>
      </c>
    </row>
    <row r="19" customFormat="false" ht="13.5" hidden="false" customHeight="true" outlineLevel="0" collapsed="false">
      <c r="A19" s="17" t="s">
        <v>87</v>
      </c>
      <c r="B19" s="17"/>
      <c r="D19" s="20" t="str">
        <f aca="false">'ARREARS-PAR'!A11</f>
        <v>Written Off</v>
      </c>
      <c r="E19" s="21" t="n">
        <f aca="false">'ARREARS-PAR'!C11</f>
        <v>0</v>
      </c>
      <c r="G19" s="20" t="s">
        <v>88</v>
      </c>
      <c r="H19" s="21" t="n">
        <f aca="false">SUMIFS(PORTFOLIO!$U$6:$U$55,PORTFOLIO!$D$6:$D$55,"Arua",PORTFOLIO!$Z$6:$Z$55,"&lt;&gt;Written Off")</f>
        <v>0</v>
      </c>
    </row>
    <row r="20" customFormat="false" ht="15" hidden="false" customHeight="false" outlineLevel="0" collapsed="false">
      <c r="G20" s="20" t="s">
        <v>89</v>
      </c>
      <c r="H20" s="21" t="n">
        <f aca="false">SUMIFS(PORTFOLIO!$U$6:$U$55,PORTFOLIO!$D$6:$D$55,"Fort Portal",PORTFOLIO!$Z$6:$Z$55,"&lt;&gt;Written Off")</f>
        <v>0</v>
      </c>
    </row>
    <row r="21" customFormat="false" ht="15" hidden="false" customHeight="false" outlineLevel="0" collapsed="false">
      <c r="G21" s="20" t="s">
        <v>90</v>
      </c>
      <c r="H21" s="21" t="n">
        <f aca="false">SUMIFS(PORTFOLIO!$U$6:$U$55,PORTFOLIO!$D$6:$D$55,"Hoima",PORTFOLIO!$Z$6:$Z$55,"&lt;&gt;Written Off")</f>
        <v>0</v>
      </c>
    </row>
    <row r="22" customFormat="false" ht="15" hidden="false" customHeight="false" outlineLevel="0" collapsed="false">
      <c r="G22" s="20" t="s">
        <v>91</v>
      </c>
      <c r="H22" s="21" t="n">
        <f aca="false">SUMIFS(PORTFOLIO!$U$6:$U$55,PORTFOLIO!$D$6:$D$55,"Adjumani",PORTFOLIO!$Z$6:$Z$55,"&lt;&gt;Written Off")</f>
        <v>0</v>
      </c>
    </row>
    <row r="23" customFormat="false" ht="15" hidden="false" customHeight="false" outlineLevel="0" collapsed="false">
      <c r="G23" s="20" t="s">
        <v>92</v>
      </c>
      <c r="H23" s="21" t="n">
        <f aca="false">SUMIFS(PORTFOLIO!$U$6:$U$55,PORTFOLIO!$D$6:$D$55,"Other",PORTFOLIO!$Z$6:$Z$55,"&lt;&gt;Written Off")</f>
        <v>0</v>
      </c>
    </row>
  </sheetData>
  <mergeCells count="4">
    <mergeCell ref="A1:J1"/>
    <mergeCell ref="A2:J2"/>
    <mergeCell ref="A10:J10"/>
    <mergeCell ref="A19:B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1" min="1" style="0" width="30"/>
    <col collapsed="false" customWidth="true" hidden="false" outlineLevel="0" max="13" min="13" style="0" width="50"/>
  </cols>
  <sheetData>
    <row r="1" customFormat="false" ht="43.25" hidden="false" customHeight="false" outlineLevel="0" collapsed="false">
      <c r="A1" s="22" t="s">
        <v>93</v>
      </c>
      <c r="B1" s="22" t="s">
        <v>94</v>
      </c>
      <c r="C1" s="22" t="s">
        <v>95</v>
      </c>
      <c r="D1" s="22" t="s">
        <v>96</v>
      </c>
      <c r="E1" s="22" t="s">
        <v>97</v>
      </c>
      <c r="F1" s="22" t="s">
        <v>98</v>
      </c>
      <c r="G1" s="22" t="s">
        <v>99</v>
      </c>
      <c r="H1" s="22" t="s">
        <v>100</v>
      </c>
      <c r="I1" s="22" t="s">
        <v>101</v>
      </c>
      <c r="J1" s="22" t="s">
        <v>102</v>
      </c>
      <c r="K1" s="22" t="s">
        <v>103</v>
      </c>
      <c r="M1" s="23" t="s">
        <v>104</v>
      </c>
    </row>
    <row r="2" customFormat="false" ht="15" hidden="false" customHeight="false" outlineLevel="0" collapsed="false">
      <c r="A2" s="24" t="s">
        <v>82</v>
      </c>
      <c r="B2" s="24" t="s">
        <v>105</v>
      </c>
      <c r="C2" s="24" t="s">
        <v>106</v>
      </c>
      <c r="D2" s="24" t="s">
        <v>107</v>
      </c>
      <c r="E2" s="24" t="s">
        <v>108</v>
      </c>
      <c r="F2" s="24" t="s">
        <v>109</v>
      </c>
      <c r="G2" s="24" t="s">
        <v>110</v>
      </c>
      <c r="H2" s="24" t="s">
        <v>111</v>
      </c>
      <c r="I2" s="24" t="s">
        <v>112</v>
      </c>
      <c r="J2" s="24" t="s">
        <v>107</v>
      </c>
      <c r="K2" s="24" t="s">
        <v>113</v>
      </c>
    </row>
    <row r="3" customFormat="false" ht="15" hidden="false" customHeight="false" outlineLevel="0" collapsed="false">
      <c r="A3" s="24" t="s">
        <v>83</v>
      </c>
      <c r="B3" s="24" t="s">
        <v>114</v>
      </c>
      <c r="C3" s="24" t="s">
        <v>115</v>
      </c>
      <c r="D3" s="24" t="s">
        <v>116</v>
      </c>
      <c r="E3" s="24" t="s">
        <v>117</v>
      </c>
      <c r="F3" s="24" t="s">
        <v>118</v>
      </c>
      <c r="G3" s="24" t="s">
        <v>119</v>
      </c>
      <c r="H3" s="24" t="s">
        <v>120</v>
      </c>
      <c r="I3" s="24" t="s">
        <v>121</v>
      </c>
      <c r="J3" s="24" t="s">
        <v>122</v>
      </c>
      <c r="K3" s="24" t="s">
        <v>123</v>
      </c>
    </row>
    <row r="4" customFormat="false" ht="15" hidden="false" customHeight="false" outlineLevel="0" collapsed="false">
      <c r="A4" s="24" t="s">
        <v>84</v>
      </c>
      <c r="C4" s="24" t="s">
        <v>124</v>
      </c>
      <c r="D4" s="24" t="s">
        <v>125</v>
      </c>
      <c r="E4" s="24" t="s">
        <v>126</v>
      </c>
      <c r="F4" s="24" t="s">
        <v>127</v>
      </c>
      <c r="G4" s="24" t="s">
        <v>128</v>
      </c>
      <c r="H4" s="24" t="s">
        <v>129</v>
      </c>
      <c r="I4" s="24" t="s">
        <v>130</v>
      </c>
    </row>
    <row r="5" customFormat="false" ht="15" hidden="false" customHeight="false" outlineLevel="0" collapsed="false">
      <c r="A5" s="24" t="s">
        <v>85</v>
      </c>
      <c r="C5" s="24" t="s">
        <v>131</v>
      </c>
      <c r="D5" s="24" t="s">
        <v>132</v>
      </c>
      <c r="E5" s="24" t="s">
        <v>133</v>
      </c>
      <c r="F5" s="24" t="s">
        <v>134</v>
      </c>
      <c r="G5" s="24" t="s">
        <v>135</v>
      </c>
      <c r="H5" s="24" t="s">
        <v>136</v>
      </c>
      <c r="I5" s="24" t="s">
        <v>137</v>
      </c>
    </row>
    <row r="6" customFormat="false" ht="15" hidden="false" customHeight="false" outlineLevel="0" collapsed="false">
      <c r="A6" s="24" t="s">
        <v>86</v>
      </c>
      <c r="D6" s="24" t="s">
        <v>138</v>
      </c>
      <c r="E6" s="24" t="s">
        <v>139</v>
      </c>
      <c r="G6" s="24" t="s">
        <v>140</v>
      </c>
    </row>
    <row r="7" customFormat="false" ht="15" hidden="false" customHeight="false" outlineLevel="0" collapsed="false">
      <c r="A7" s="24" t="s">
        <v>88</v>
      </c>
      <c r="E7" s="24" t="s">
        <v>141</v>
      </c>
      <c r="G7" s="24" t="s">
        <v>142</v>
      </c>
    </row>
    <row r="8" customFormat="false" ht="15" hidden="false" customHeight="false" outlineLevel="0" collapsed="false">
      <c r="A8" s="24" t="s">
        <v>89</v>
      </c>
      <c r="G8" s="24" t="s">
        <v>143</v>
      </c>
    </row>
    <row r="9" customFormat="false" ht="15" hidden="false" customHeight="false" outlineLevel="0" collapsed="false">
      <c r="A9" s="24" t="s">
        <v>90</v>
      </c>
      <c r="G9" s="24" t="s">
        <v>92</v>
      </c>
    </row>
    <row r="10" customFormat="false" ht="15" hidden="false" customHeight="false" outlineLevel="0" collapsed="false">
      <c r="A10" s="24" t="s">
        <v>91</v>
      </c>
    </row>
    <row r="11" customFormat="false" ht="15" hidden="false" customHeight="false" outlineLevel="0" collapsed="false">
      <c r="A11" s="24" t="s">
        <v>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16"/>
    <col collapsed="false" customWidth="true" hidden="false" outlineLevel="0" max="6" min="4" style="0" width="14"/>
    <col collapsed="false" customWidth="true" hidden="false" outlineLevel="0" max="9" min="7" style="0" width="12"/>
    <col collapsed="false" customWidth="true" hidden="false" outlineLevel="0" max="10" min="10" style="0" width="14"/>
    <col collapsed="false" customWidth="true" hidden="false" outlineLevel="0" max="11" min="11" style="0" width="16"/>
    <col collapsed="false" customWidth="true" hidden="false" outlineLevel="0" max="12" min="12" style="0" width="12"/>
    <col collapsed="false" customWidth="true" hidden="false" outlineLevel="0" max="13" min="13" style="0" width="22"/>
    <col collapsed="false" customWidth="true" hidden="false" outlineLevel="0" max="14" min="14" style="0" width="10"/>
    <col collapsed="false" customWidth="true" hidden="false" outlineLevel="0" max="15" min="15" style="0" width="26"/>
  </cols>
  <sheetData>
    <row r="1" customFormat="false" ht="16.15" hidden="false" customHeight="false" outlineLevel="0" collapsed="false">
      <c r="A1" s="9" t="s">
        <v>144</v>
      </c>
      <c r="B1" s="9"/>
      <c r="C1" s="9"/>
      <c r="D1" s="9"/>
      <c r="E1" s="9"/>
      <c r="F1" s="9"/>
      <c r="G1" s="9"/>
      <c r="H1" s="9"/>
      <c r="I1" s="9"/>
      <c r="J1" s="9"/>
      <c r="K1" s="9"/>
      <c r="L1" s="9"/>
      <c r="M1" s="9"/>
      <c r="N1" s="9"/>
      <c r="O1" s="9"/>
    </row>
    <row r="2" customFormat="false" ht="15" hidden="false" customHeight="false" outlineLevel="0" collapsed="false">
      <c r="A2" s="10" t="s">
        <v>145</v>
      </c>
      <c r="B2" s="10"/>
      <c r="C2" s="10"/>
      <c r="D2" s="10"/>
      <c r="E2" s="10"/>
      <c r="F2" s="10"/>
      <c r="G2" s="10"/>
      <c r="H2" s="10"/>
      <c r="I2" s="10"/>
      <c r="J2" s="10"/>
      <c r="K2" s="10"/>
      <c r="L2" s="10"/>
      <c r="M2" s="10"/>
      <c r="N2" s="10"/>
      <c r="O2" s="10"/>
    </row>
    <row r="3" customFormat="false" ht="39.75" hidden="false" customHeight="true" outlineLevel="0" collapsed="false">
      <c r="A3" s="17" t="s">
        <v>146</v>
      </c>
      <c r="B3" s="17"/>
      <c r="C3" s="17"/>
      <c r="D3" s="17"/>
      <c r="E3" s="17"/>
      <c r="F3" s="17"/>
      <c r="G3" s="17"/>
      <c r="H3" s="17"/>
      <c r="I3" s="17"/>
      <c r="J3" s="17"/>
      <c r="K3" s="17"/>
      <c r="L3" s="17"/>
      <c r="M3" s="17"/>
      <c r="N3" s="17"/>
      <c r="O3" s="17"/>
    </row>
    <row r="5" customFormat="false" ht="32.8" hidden="false" customHeight="false" outlineLevel="0" collapsed="false">
      <c r="A5" s="25" t="s">
        <v>147</v>
      </c>
      <c r="B5" s="25" t="s">
        <v>148</v>
      </c>
      <c r="C5" s="25" t="s">
        <v>94</v>
      </c>
      <c r="D5" s="25" t="s">
        <v>149</v>
      </c>
      <c r="E5" s="25" t="s">
        <v>150</v>
      </c>
      <c r="F5" s="25" t="s">
        <v>151</v>
      </c>
      <c r="G5" s="25" t="s">
        <v>152</v>
      </c>
      <c r="H5" s="25" t="s">
        <v>153</v>
      </c>
      <c r="I5" s="25" t="s">
        <v>154</v>
      </c>
      <c r="J5" s="25" t="s">
        <v>155</v>
      </c>
      <c r="K5" s="25" t="s">
        <v>156</v>
      </c>
      <c r="L5" s="25" t="s">
        <v>157</v>
      </c>
      <c r="M5" s="25" t="s">
        <v>158</v>
      </c>
      <c r="N5" s="25" t="s">
        <v>159</v>
      </c>
      <c r="O5" s="25" t="s">
        <v>160</v>
      </c>
    </row>
    <row r="6" customFormat="false" ht="15" hidden="false" customHeight="false" outlineLevel="0" collapsed="false">
      <c r="A6" s="26" t="s">
        <v>161</v>
      </c>
      <c r="B6" s="27" t="s">
        <v>162</v>
      </c>
      <c r="C6" s="27" t="s">
        <v>105</v>
      </c>
      <c r="D6" s="27" t="n">
        <v>24</v>
      </c>
      <c r="E6" s="28" t="n">
        <v>500000</v>
      </c>
      <c r="F6" s="28" t="n">
        <v>20000000</v>
      </c>
      <c r="G6" s="27" t="n">
        <v>3</v>
      </c>
      <c r="H6" s="27" t="n">
        <v>24</v>
      </c>
      <c r="I6" s="27" t="n">
        <v>2</v>
      </c>
      <c r="J6" s="27" t="n">
        <v>1</v>
      </c>
      <c r="K6" s="27" t="n">
        <v>5</v>
      </c>
      <c r="L6" s="27" t="n">
        <v>7</v>
      </c>
      <c r="M6" s="27" t="s">
        <v>163</v>
      </c>
      <c r="N6" s="27" t="s">
        <v>107</v>
      </c>
      <c r="O6" s="27" t="s">
        <v>164</v>
      </c>
    </row>
    <row r="7" customFormat="false" ht="22.35" hidden="false" customHeight="false" outlineLevel="0" collapsed="false">
      <c r="A7" s="26" t="s">
        <v>161</v>
      </c>
      <c r="B7" s="27" t="s">
        <v>165</v>
      </c>
      <c r="C7" s="27" t="s">
        <v>105</v>
      </c>
      <c r="D7" s="27" t="n">
        <v>20</v>
      </c>
      <c r="E7" s="28" t="n">
        <v>300000</v>
      </c>
      <c r="F7" s="28" t="n">
        <v>15000000</v>
      </c>
      <c r="G7" s="27" t="n">
        <v>3</v>
      </c>
      <c r="H7" s="27" t="n">
        <v>18</v>
      </c>
      <c r="I7" s="27" t="n">
        <v>2</v>
      </c>
      <c r="J7" s="27" t="n">
        <v>1</v>
      </c>
      <c r="K7" s="27" t="n">
        <v>5</v>
      </c>
      <c r="L7" s="27" t="n">
        <v>14</v>
      </c>
      <c r="M7" s="27" t="s">
        <v>166</v>
      </c>
      <c r="N7" s="27" t="s">
        <v>107</v>
      </c>
      <c r="O7" s="27" t="s">
        <v>164</v>
      </c>
    </row>
    <row r="8" customFormat="false" ht="22.35" hidden="false" customHeight="false" outlineLevel="0" collapsed="false">
      <c r="A8" s="26" t="s">
        <v>161</v>
      </c>
      <c r="B8" s="27" t="s">
        <v>167</v>
      </c>
      <c r="C8" s="27" t="s">
        <v>114</v>
      </c>
      <c r="D8" s="27" t="n">
        <v>10</v>
      </c>
      <c r="E8" s="28" t="n">
        <v>100000</v>
      </c>
      <c r="F8" s="28" t="n">
        <v>3000000</v>
      </c>
      <c r="G8" s="27" t="n">
        <v>1</v>
      </c>
      <c r="H8" s="27" t="n">
        <v>6</v>
      </c>
      <c r="I8" s="27" t="n">
        <v>1</v>
      </c>
      <c r="J8" s="27" t="n">
        <v>0</v>
      </c>
      <c r="K8" s="27" t="n">
        <v>10</v>
      </c>
      <c r="L8" s="27" t="n">
        <v>0</v>
      </c>
      <c r="M8" s="27" t="s">
        <v>168</v>
      </c>
      <c r="N8" s="27" t="s">
        <v>107</v>
      </c>
      <c r="O8" s="27" t="s">
        <v>169</v>
      </c>
    </row>
    <row r="9" customFormat="false" ht="15" hidden="false" customHeight="false" outlineLevel="0" collapsed="false">
      <c r="A9" s="29"/>
      <c r="B9" s="29"/>
      <c r="C9" s="29"/>
      <c r="D9" s="29"/>
      <c r="E9" s="30"/>
      <c r="F9" s="30"/>
      <c r="G9" s="29"/>
      <c r="H9" s="29"/>
      <c r="I9" s="29"/>
      <c r="J9" s="29"/>
      <c r="K9" s="29"/>
      <c r="L9" s="29"/>
      <c r="M9" s="29"/>
      <c r="N9" s="29"/>
      <c r="O9" s="29"/>
    </row>
    <row r="10" customFormat="false" ht="15" hidden="false" customHeight="false" outlineLevel="0" collapsed="false">
      <c r="A10" s="29"/>
      <c r="B10" s="29"/>
      <c r="C10" s="29"/>
      <c r="D10" s="29"/>
      <c r="E10" s="30"/>
      <c r="F10" s="30"/>
      <c r="G10" s="29"/>
      <c r="H10" s="29"/>
      <c r="I10" s="29"/>
      <c r="J10" s="29"/>
      <c r="K10" s="29"/>
      <c r="L10" s="29"/>
      <c r="M10" s="29"/>
      <c r="N10" s="29"/>
      <c r="O10" s="29"/>
    </row>
    <row r="11" customFormat="false" ht="15" hidden="false" customHeight="false" outlineLevel="0" collapsed="false">
      <c r="A11" s="29"/>
      <c r="B11" s="29"/>
      <c r="C11" s="29"/>
      <c r="D11" s="29"/>
      <c r="E11" s="30"/>
      <c r="F11" s="30"/>
      <c r="G11" s="29"/>
      <c r="H11" s="29"/>
      <c r="I11" s="29"/>
      <c r="J11" s="29"/>
      <c r="K11" s="29"/>
      <c r="L11" s="29"/>
      <c r="M11" s="29"/>
      <c r="N11" s="29"/>
      <c r="O11" s="29"/>
    </row>
    <row r="12" customFormat="false" ht="15" hidden="false" customHeight="false" outlineLevel="0" collapsed="false">
      <c r="A12" s="29"/>
      <c r="B12" s="29"/>
      <c r="C12" s="29"/>
      <c r="D12" s="29"/>
      <c r="E12" s="30"/>
      <c r="F12" s="30"/>
      <c r="G12" s="29"/>
      <c r="H12" s="29"/>
      <c r="I12" s="29"/>
      <c r="J12" s="29"/>
      <c r="K12" s="29"/>
      <c r="L12" s="29"/>
      <c r="M12" s="29"/>
      <c r="N12" s="29"/>
      <c r="O12" s="29"/>
    </row>
    <row r="13" customFormat="false" ht="15" hidden="false" customHeight="false" outlineLevel="0" collapsed="false">
      <c r="A13" s="29"/>
      <c r="B13" s="29"/>
      <c r="C13" s="29"/>
      <c r="D13" s="29"/>
      <c r="E13" s="30"/>
      <c r="F13" s="30"/>
      <c r="G13" s="29"/>
      <c r="H13" s="29"/>
      <c r="I13" s="29"/>
      <c r="J13" s="29"/>
      <c r="K13" s="29"/>
      <c r="L13" s="29"/>
      <c r="M13" s="29"/>
      <c r="N13" s="29"/>
      <c r="O13" s="29"/>
    </row>
    <row r="14" customFormat="false" ht="15" hidden="false" customHeight="false" outlineLevel="0" collapsed="false">
      <c r="A14" s="29"/>
      <c r="B14" s="29"/>
      <c r="C14" s="29"/>
      <c r="D14" s="29"/>
      <c r="E14" s="30"/>
      <c r="F14" s="30"/>
      <c r="G14" s="29"/>
      <c r="H14" s="29"/>
      <c r="I14" s="29"/>
      <c r="J14" s="29"/>
      <c r="K14" s="29"/>
      <c r="L14" s="29"/>
      <c r="M14" s="29"/>
      <c r="N14" s="29"/>
      <c r="O14" s="29"/>
    </row>
    <row r="15" customFormat="false" ht="15" hidden="false" customHeight="false" outlineLevel="0" collapsed="false">
      <c r="A15" s="29"/>
      <c r="B15" s="29"/>
      <c r="C15" s="29"/>
      <c r="D15" s="29"/>
      <c r="E15" s="30"/>
      <c r="F15" s="30"/>
      <c r="G15" s="29"/>
      <c r="H15" s="29"/>
      <c r="I15" s="29"/>
      <c r="J15" s="29"/>
      <c r="K15" s="29"/>
      <c r="L15" s="29"/>
      <c r="M15" s="29"/>
      <c r="N15" s="29"/>
      <c r="O15" s="29"/>
    </row>
    <row r="16" customFormat="false" ht="15" hidden="false" customHeight="false" outlineLevel="0" collapsed="false">
      <c r="A16" s="29"/>
      <c r="B16" s="29"/>
      <c r="C16" s="29"/>
      <c r="D16" s="29"/>
      <c r="E16" s="30"/>
      <c r="F16" s="30"/>
      <c r="G16" s="29"/>
      <c r="H16" s="29"/>
      <c r="I16" s="29"/>
      <c r="J16" s="29"/>
      <c r="K16" s="29"/>
      <c r="L16" s="29"/>
      <c r="M16" s="29"/>
      <c r="N16" s="29"/>
      <c r="O16" s="29"/>
    </row>
    <row r="17" customFormat="false" ht="15" hidden="false" customHeight="false" outlineLevel="0" collapsed="false">
      <c r="A17" s="29"/>
      <c r="B17" s="29"/>
      <c r="C17" s="29"/>
      <c r="D17" s="29"/>
      <c r="E17" s="30"/>
      <c r="F17" s="30"/>
      <c r="G17" s="29"/>
      <c r="H17" s="29"/>
      <c r="I17" s="29"/>
      <c r="J17" s="29"/>
      <c r="K17" s="29"/>
      <c r="L17" s="29"/>
      <c r="M17" s="29"/>
      <c r="N17" s="29"/>
      <c r="O17" s="29"/>
    </row>
  </sheetData>
  <mergeCells count="3">
    <mergeCell ref="A1:O1"/>
    <mergeCell ref="A2:O2"/>
    <mergeCell ref="A3:O3"/>
  </mergeCells>
  <dataValidations count="2">
    <dataValidation allowBlank="true" error="Pick one of the listed options, or add a new option on the Lists sheet." errorStyle="stop" errorTitle="Choose from the list" operator="between" showDropDown="false" showErrorMessage="true" showInputMessage="false" sqref="C6:C17" type="list">
      <formula1>Lists!$B$2:$B$3</formula1>
      <formula2>0</formula2>
    </dataValidation>
    <dataValidation allowBlank="true" error="Pick one of the listed options, or add a new option on the Lists sheet." errorStyle="stop" errorTitle="Choose from the list" operator="between" showDropDown="false" showErrorMessage="true" showInputMessage="false" sqref="N6:N17" type="list">
      <formula1>Lists!$J$2:$J$3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20"/>
    <col collapsed="false" customWidth="true" hidden="false" outlineLevel="0" max="4" min="4" style="0" width="13"/>
    <col collapsed="false" customWidth="true" hidden="false" outlineLevel="0" max="5" min="5" style="0" width="7"/>
    <col collapsed="false" customWidth="true" hidden="false" outlineLevel="0" max="6" min="6" style="0" width="9"/>
    <col collapsed="false" customWidth="true" hidden="false" outlineLevel="0" max="7" min="7" style="0" width="15"/>
    <col collapsed="false" customWidth="true" hidden="false" outlineLevel="0" max="8" min="8" style="0" width="22"/>
    <col collapsed="false" customWidth="true" hidden="false" outlineLevel="0" max="9" min="9" style="0" width="26"/>
    <col collapsed="false" customWidth="true" hidden="false" outlineLevel="0" max="10" min="10" style="0" width="18"/>
    <col collapsed="false" customWidth="true" hidden="false" outlineLevel="0" max="11" min="11" style="0" width="22"/>
    <col collapsed="false" customWidth="true" hidden="false" outlineLevel="0" max="12" min="12" style="0" width="15"/>
    <col collapsed="false" customWidth="true" hidden="false" outlineLevel="0" max="13" min="13" style="0" width="16"/>
    <col collapsed="false" customWidth="true" hidden="false" outlineLevel="0" max="14" min="14" style="0" width="13"/>
    <col collapsed="false" customWidth="true" hidden="false" outlineLevel="0" max="15" min="15" style="0" width="14"/>
    <col collapsed="false" customWidth="true" hidden="false" outlineLevel="0" max="16" min="16" style="0" width="18"/>
    <col collapsed="false" customWidth="true" hidden="false" outlineLevel="0" max="17" min="17" style="0" width="15"/>
    <col collapsed="false" customWidth="true" hidden="false" outlineLevel="0" max="18" min="18" style="0" width="16"/>
    <col collapsed="false" customWidth="true" hidden="false" outlineLevel="0" max="19" min="19" style="0" width="26"/>
  </cols>
  <sheetData>
    <row r="1" customFormat="false" ht="16.15" hidden="false" customHeight="false" outlineLevel="0" collapsed="false">
      <c r="A1" s="9" t="s">
        <v>170</v>
      </c>
      <c r="B1" s="9"/>
      <c r="C1" s="9"/>
      <c r="D1" s="9"/>
      <c r="E1" s="9"/>
      <c r="F1" s="9"/>
      <c r="G1" s="9"/>
      <c r="H1" s="9"/>
      <c r="I1" s="9"/>
      <c r="J1" s="9"/>
      <c r="K1" s="9"/>
      <c r="L1" s="9"/>
      <c r="M1" s="9"/>
      <c r="N1" s="9"/>
      <c r="O1" s="9"/>
      <c r="P1" s="9"/>
      <c r="Q1" s="9"/>
      <c r="R1" s="9"/>
      <c r="S1" s="9"/>
    </row>
    <row r="2" customFormat="false" ht="15" hidden="false" customHeight="false" outlineLevel="0" collapsed="false">
      <c r="A2" s="10" t="s">
        <v>171</v>
      </c>
      <c r="B2" s="10"/>
      <c r="C2" s="10"/>
      <c r="D2" s="10"/>
      <c r="E2" s="10"/>
      <c r="F2" s="10"/>
      <c r="G2" s="10"/>
      <c r="H2" s="10"/>
      <c r="I2" s="10"/>
      <c r="J2" s="10"/>
      <c r="K2" s="10"/>
      <c r="L2" s="10"/>
      <c r="M2" s="10"/>
      <c r="N2" s="10"/>
      <c r="O2" s="10"/>
      <c r="P2" s="10"/>
      <c r="Q2" s="10"/>
      <c r="R2" s="10"/>
      <c r="S2" s="10"/>
    </row>
    <row r="3" customFormat="false" ht="24" hidden="false" customHeight="true" outlineLevel="0" collapsed="false">
      <c r="A3" s="17" t="s">
        <v>172</v>
      </c>
      <c r="B3" s="17"/>
      <c r="C3" s="17"/>
      <c r="D3" s="17"/>
      <c r="E3" s="17"/>
      <c r="F3" s="17"/>
      <c r="G3" s="17"/>
      <c r="H3" s="17"/>
      <c r="I3" s="17"/>
      <c r="J3" s="17"/>
      <c r="K3" s="17"/>
      <c r="L3" s="17"/>
      <c r="M3" s="17"/>
      <c r="N3" s="17"/>
      <c r="O3" s="17"/>
      <c r="P3" s="17"/>
      <c r="Q3" s="17"/>
      <c r="R3" s="17"/>
      <c r="S3" s="17"/>
    </row>
    <row r="5" customFormat="false" ht="22.35" hidden="false" customHeight="false" outlineLevel="0" collapsed="false">
      <c r="A5" s="25" t="s">
        <v>173</v>
      </c>
      <c r="B5" s="25" t="s">
        <v>174</v>
      </c>
      <c r="C5" s="25" t="s">
        <v>175</v>
      </c>
      <c r="D5" s="25" t="s">
        <v>176</v>
      </c>
      <c r="E5" s="25" t="s">
        <v>177</v>
      </c>
      <c r="F5" s="25" t="s">
        <v>178</v>
      </c>
      <c r="G5" s="25" t="s">
        <v>179</v>
      </c>
      <c r="H5" s="25" t="s">
        <v>180</v>
      </c>
      <c r="I5" s="25" t="s">
        <v>181</v>
      </c>
      <c r="J5" s="25" t="s">
        <v>93</v>
      </c>
      <c r="K5" s="25" t="s">
        <v>182</v>
      </c>
      <c r="L5" s="25" t="s">
        <v>183</v>
      </c>
      <c r="M5" s="25" t="s">
        <v>101</v>
      </c>
      <c r="N5" s="25" t="s">
        <v>184</v>
      </c>
      <c r="O5" s="25" t="s">
        <v>185</v>
      </c>
      <c r="P5" s="25" t="s">
        <v>186</v>
      </c>
      <c r="Q5" s="25" t="s">
        <v>187</v>
      </c>
      <c r="R5" s="25" t="s">
        <v>188</v>
      </c>
      <c r="S5" s="25" t="s">
        <v>160</v>
      </c>
    </row>
    <row r="6" customFormat="false" ht="15" hidden="false" customHeight="false" outlineLevel="0" collapsed="false">
      <c r="A6" s="26" t="s">
        <v>161</v>
      </c>
      <c r="B6" s="27" t="s">
        <v>189</v>
      </c>
      <c r="C6" s="27" t="s">
        <v>190</v>
      </c>
      <c r="D6" s="31" t="n">
        <v>32874</v>
      </c>
      <c r="E6" s="32" t="n">
        <f aca="true">IF(D6="","",DATEDIF(D6,TODAY(),"y"))</f>
        <v>36</v>
      </c>
      <c r="F6" s="27" t="s">
        <v>191</v>
      </c>
      <c r="G6" s="27" t="s">
        <v>192</v>
      </c>
      <c r="H6" s="27"/>
      <c r="I6" s="27" t="s">
        <v>193</v>
      </c>
      <c r="J6" s="27" t="s">
        <v>82</v>
      </c>
      <c r="K6" s="27" t="s">
        <v>194</v>
      </c>
      <c r="L6" s="28" t="n">
        <v>1500000</v>
      </c>
      <c r="M6" s="27" t="s">
        <v>121</v>
      </c>
      <c r="N6" s="31" t="n">
        <v>46037</v>
      </c>
      <c r="O6" s="27" t="s">
        <v>113</v>
      </c>
      <c r="P6" s="27" t="s">
        <v>195</v>
      </c>
      <c r="Q6" s="27" t="s">
        <v>196</v>
      </c>
      <c r="R6" s="27" t="s">
        <v>197</v>
      </c>
      <c r="S6" s="27" t="s">
        <v>198</v>
      </c>
    </row>
    <row r="7" customFormat="false" ht="15" hidden="false" customHeight="false" outlineLevel="0" collapsed="false">
      <c r="A7" s="29"/>
      <c r="B7" s="29"/>
      <c r="C7" s="29"/>
      <c r="D7" s="33"/>
      <c r="E7" s="34" t="str">
        <f aca="true">IF(D7="","",DATEDIF(D7,TODAY(),"y"))</f>
        <v/>
      </c>
      <c r="F7" s="29"/>
      <c r="G7" s="29"/>
      <c r="H7" s="29"/>
      <c r="I7" s="29"/>
      <c r="J7" s="29"/>
      <c r="K7" s="29"/>
      <c r="L7" s="30"/>
      <c r="M7" s="29"/>
      <c r="N7" s="33"/>
      <c r="O7" s="29"/>
      <c r="P7" s="29"/>
      <c r="Q7" s="29"/>
      <c r="R7" s="29"/>
      <c r="S7" s="29"/>
    </row>
    <row r="8" customFormat="false" ht="15" hidden="false" customHeight="false" outlineLevel="0" collapsed="false">
      <c r="A8" s="29"/>
      <c r="B8" s="29"/>
      <c r="C8" s="29"/>
      <c r="D8" s="33"/>
      <c r="E8" s="34" t="str">
        <f aca="true">IF(D8="","",DATEDIF(D8,TODAY(),"y"))</f>
        <v/>
      </c>
      <c r="F8" s="29"/>
      <c r="G8" s="29"/>
      <c r="H8" s="29"/>
      <c r="I8" s="29"/>
      <c r="J8" s="29"/>
      <c r="K8" s="29"/>
      <c r="L8" s="30"/>
      <c r="M8" s="29"/>
      <c r="N8" s="33"/>
      <c r="O8" s="29"/>
      <c r="P8" s="29"/>
      <c r="Q8" s="29"/>
      <c r="R8" s="29"/>
      <c r="S8" s="29"/>
    </row>
    <row r="9" customFormat="false" ht="15" hidden="false" customHeight="false" outlineLevel="0" collapsed="false">
      <c r="A9" s="29"/>
      <c r="B9" s="29"/>
      <c r="C9" s="29"/>
      <c r="D9" s="33"/>
      <c r="E9" s="34" t="str">
        <f aca="true">IF(D9="","",DATEDIF(D9,TODAY(),"y"))</f>
        <v/>
      </c>
      <c r="F9" s="29"/>
      <c r="G9" s="29"/>
      <c r="H9" s="29"/>
      <c r="I9" s="29"/>
      <c r="J9" s="29"/>
      <c r="K9" s="29"/>
      <c r="L9" s="30"/>
      <c r="M9" s="29"/>
      <c r="N9" s="33"/>
      <c r="O9" s="29"/>
      <c r="P9" s="29"/>
      <c r="Q9" s="29"/>
      <c r="R9" s="29"/>
      <c r="S9" s="29"/>
    </row>
    <row r="10" customFormat="false" ht="15" hidden="false" customHeight="false" outlineLevel="0" collapsed="false">
      <c r="A10" s="29"/>
      <c r="B10" s="29"/>
      <c r="C10" s="29"/>
      <c r="D10" s="33"/>
      <c r="E10" s="34" t="str">
        <f aca="true">IF(D10="","",DATEDIF(D10,TODAY(),"y"))</f>
        <v/>
      </c>
      <c r="F10" s="29"/>
      <c r="G10" s="29"/>
      <c r="H10" s="29"/>
      <c r="I10" s="29"/>
      <c r="J10" s="29"/>
      <c r="K10" s="29"/>
      <c r="L10" s="30"/>
      <c r="M10" s="29"/>
      <c r="N10" s="33"/>
      <c r="O10" s="29"/>
      <c r="P10" s="29"/>
      <c r="Q10" s="29"/>
      <c r="R10" s="29"/>
      <c r="S10" s="29"/>
    </row>
    <row r="11" customFormat="false" ht="15" hidden="false" customHeight="false" outlineLevel="0" collapsed="false">
      <c r="A11" s="29"/>
      <c r="B11" s="29"/>
      <c r="C11" s="29"/>
      <c r="D11" s="33"/>
      <c r="E11" s="34" t="str">
        <f aca="true">IF(D11="","",DATEDIF(D11,TODAY(),"y"))</f>
        <v/>
      </c>
      <c r="F11" s="29"/>
      <c r="G11" s="29"/>
      <c r="H11" s="29"/>
      <c r="I11" s="29"/>
      <c r="J11" s="29"/>
      <c r="K11" s="29"/>
      <c r="L11" s="30"/>
      <c r="M11" s="29"/>
      <c r="N11" s="33"/>
      <c r="O11" s="29"/>
      <c r="P11" s="29"/>
      <c r="Q11" s="29"/>
      <c r="R11" s="29"/>
      <c r="S11" s="29"/>
    </row>
    <row r="12" customFormat="false" ht="15" hidden="false" customHeight="false" outlineLevel="0" collapsed="false">
      <c r="A12" s="29"/>
      <c r="B12" s="29"/>
      <c r="C12" s="29"/>
      <c r="D12" s="33"/>
      <c r="E12" s="34" t="str">
        <f aca="true">IF(D12="","",DATEDIF(D12,TODAY(),"y"))</f>
        <v/>
      </c>
      <c r="F12" s="29"/>
      <c r="G12" s="29"/>
      <c r="H12" s="29"/>
      <c r="I12" s="29"/>
      <c r="J12" s="29"/>
      <c r="K12" s="29"/>
      <c r="L12" s="30"/>
      <c r="M12" s="29"/>
      <c r="N12" s="33"/>
      <c r="O12" s="29"/>
      <c r="P12" s="29"/>
      <c r="Q12" s="29"/>
      <c r="R12" s="29"/>
      <c r="S12" s="29"/>
    </row>
    <row r="13" customFormat="false" ht="15" hidden="false" customHeight="false" outlineLevel="0" collapsed="false">
      <c r="A13" s="29"/>
      <c r="B13" s="29"/>
      <c r="C13" s="29"/>
      <c r="D13" s="33"/>
      <c r="E13" s="34" t="str">
        <f aca="true">IF(D13="","",DATEDIF(D13,TODAY(),"y"))</f>
        <v/>
      </c>
      <c r="F13" s="29"/>
      <c r="G13" s="29"/>
      <c r="H13" s="29"/>
      <c r="I13" s="29"/>
      <c r="J13" s="29"/>
      <c r="K13" s="29"/>
      <c r="L13" s="30"/>
      <c r="M13" s="29"/>
      <c r="N13" s="33"/>
      <c r="O13" s="29"/>
      <c r="P13" s="29"/>
      <c r="Q13" s="29"/>
      <c r="R13" s="29"/>
      <c r="S13" s="29"/>
    </row>
    <row r="14" customFormat="false" ht="15" hidden="false" customHeight="false" outlineLevel="0" collapsed="false">
      <c r="A14" s="29"/>
      <c r="B14" s="29"/>
      <c r="C14" s="29"/>
      <c r="D14" s="33"/>
      <c r="E14" s="34" t="str">
        <f aca="true">IF(D14="","",DATEDIF(D14,TODAY(),"y"))</f>
        <v/>
      </c>
      <c r="F14" s="29"/>
      <c r="G14" s="29"/>
      <c r="H14" s="29"/>
      <c r="I14" s="29"/>
      <c r="J14" s="29"/>
      <c r="K14" s="29"/>
      <c r="L14" s="30"/>
      <c r="M14" s="29"/>
      <c r="N14" s="33"/>
      <c r="O14" s="29"/>
      <c r="P14" s="29"/>
      <c r="Q14" s="29"/>
      <c r="R14" s="29"/>
      <c r="S14" s="29"/>
    </row>
    <row r="15" customFormat="false" ht="15" hidden="false" customHeight="false" outlineLevel="0" collapsed="false">
      <c r="A15" s="29"/>
      <c r="B15" s="29"/>
      <c r="C15" s="29"/>
      <c r="D15" s="33"/>
      <c r="E15" s="34" t="str">
        <f aca="true">IF(D15="","",DATEDIF(D15,TODAY(),"y"))</f>
        <v/>
      </c>
      <c r="F15" s="29"/>
      <c r="G15" s="29"/>
      <c r="H15" s="29"/>
      <c r="I15" s="29"/>
      <c r="J15" s="29"/>
      <c r="K15" s="29"/>
      <c r="L15" s="30"/>
      <c r="M15" s="29"/>
      <c r="N15" s="33"/>
      <c r="O15" s="29"/>
      <c r="P15" s="29"/>
      <c r="Q15" s="29"/>
      <c r="R15" s="29"/>
      <c r="S15" s="29"/>
    </row>
    <row r="16" customFormat="false" ht="15" hidden="false" customHeight="false" outlineLevel="0" collapsed="false">
      <c r="A16" s="29"/>
      <c r="B16" s="29"/>
      <c r="C16" s="29"/>
      <c r="D16" s="33"/>
      <c r="E16" s="34" t="str">
        <f aca="true">IF(D16="","",DATEDIF(D16,TODAY(),"y"))</f>
        <v/>
      </c>
      <c r="F16" s="29"/>
      <c r="G16" s="29"/>
      <c r="H16" s="29"/>
      <c r="I16" s="29"/>
      <c r="J16" s="29"/>
      <c r="K16" s="29"/>
      <c r="L16" s="30"/>
      <c r="M16" s="29"/>
      <c r="N16" s="33"/>
      <c r="O16" s="29"/>
      <c r="P16" s="29"/>
      <c r="Q16" s="29"/>
      <c r="R16" s="29"/>
      <c r="S16" s="29"/>
    </row>
    <row r="17" customFormat="false" ht="15" hidden="false" customHeight="false" outlineLevel="0" collapsed="false">
      <c r="A17" s="29"/>
      <c r="B17" s="29"/>
      <c r="C17" s="29"/>
      <c r="D17" s="33"/>
      <c r="E17" s="34" t="str">
        <f aca="true">IF(D17="","",DATEDIF(D17,TODAY(),"y"))</f>
        <v/>
      </c>
      <c r="F17" s="29"/>
      <c r="G17" s="29"/>
      <c r="H17" s="29"/>
      <c r="I17" s="29"/>
      <c r="J17" s="29"/>
      <c r="K17" s="29"/>
      <c r="L17" s="30"/>
      <c r="M17" s="29"/>
      <c r="N17" s="33"/>
      <c r="O17" s="29"/>
      <c r="P17" s="29"/>
      <c r="Q17" s="29"/>
      <c r="R17" s="29"/>
      <c r="S17" s="29"/>
    </row>
    <row r="18" customFormat="false" ht="15" hidden="false" customHeight="false" outlineLevel="0" collapsed="false">
      <c r="A18" s="29"/>
      <c r="B18" s="29"/>
      <c r="C18" s="29"/>
      <c r="D18" s="33"/>
      <c r="E18" s="34" t="str">
        <f aca="true">IF(D18="","",DATEDIF(D18,TODAY(),"y"))</f>
        <v/>
      </c>
      <c r="F18" s="29"/>
      <c r="G18" s="29"/>
      <c r="H18" s="29"/>
      <c r="I18" s="29"/>
      <c r="J18" s="29"/>
      <c r="K18" s="29"/>
      <c r="L18" s="30"/>
      <c r="M18" s="29"/>
      <c r="N18" s="33"/>
      <c r="O18" s="29"/>
      <c r="P18" s="29"/>
      <c r="Q18" s="29"/>
      <c r="R18" s="29"/>
      <c r="S18" s="29"/>
    </row>
    <row r="19" customFormat="false" ht="15" hidden="false" customHeight="false" outlineLevel="0" collapsed="false">
      <c r="A19" s="29"/>
      <c r="B19" s="29"/>
      <c r="C19" s="29"/>
      <c r="D19" s="33"/>
      <c r="E19" s="34" t="str">
        <f aca="true">IF(D19="","",DATEDIF(D19,TODAY(),"y"))</f>
        <v/>
      </c>
      <c r="F19" s="29"/>
      <c r="G19" s="29"/>
      <c r="H19" s="29"/>
      <c r="I19" s="29"/>
      <c r="J19" s="29"/>
      <c r="K19" s="29"/>
      <c r="L19" s="30"/>
      <c r="M19" s="29"/>
      <c r="N19" s="33"/>
      <c r="O19" s="29"/>
      <c r="P19" s="29"/>
      <c r="Q19" s="29"/>
      <c r="R19" s="29"/>
      <c r="S19" s="29"/>
    </row>
    <row r="20" customFormat="false" ht="15" hidden="false" customHeight="false" outlineLevel="0" collapsed="false">
      <c r="A20" s="29"/>
      <c r="B20" s="29"/>
      <c r="C20" s="29"/>
      <c r="D20" s="33"/>
      <c r="E20" s="34" t="str">
        <f aca="true">IF(D20="","",DATEDIF(D20,TODAY(),"y"))</f>
        <v/>
      </c>
      <c r="F20" s="29"/>
      <c r="G20" s="29"/>
      <c r="H20" s="29"/>
      <c r="I20" s="29"/>
      <c r="J20" s="29"/>
      <c r="K20" s="29"/>
      <c r="L20" s="30"/>
      <c r="M20" s="29"/>
      <c r="N20" s="33"/>
      <c r="O20" s="29"/>
      <c r="P20" s="29"/>
      <c r="Q20" s="29"/>
      <c r="R20" s="29"/>
      <c r="S20" s="29"/>
    </row>
    <row r="21" customFormat="false" ht="15" hidden="false" customHeight="false" outlineLevel="0" collapsed="false">
      <c r="A21" s="29"/>
      <c r="B21" s="29"/>
      <c r="C21" s="29"/>
      <c r="D21" s="33"/>
      <c r="E21" s="34" t="str">
        <f aca="true">IF(D21="","",DATEDIF(D21,TODAY(),"y"))</f>
        <v/>
      </c>
      <c r="F21" s="29"/>
      <c r="G21" s="29"/>
      <c r="H21" s="29"/>
      <c r="I21" s="29"/>
      <c r="J21" s="29"/>
      <c r="K21" s="29"/>
      <c r="L21" s="30"/>
      <c r="M21" s="29"/>
      <c r="N21" s="33"/>
      <c r="O21" s="29"/>
      <c r="P21" s="29"/>
      <c r="Q21" s="29"/>
      <c r="R21" s="29"/>
      <c r="S21" s="29"/>
    </row>
    <row r="22" customFormat="false" ht="15" hidden="false" customHeight="false" outlineLevel="0" collapsed="false">
      <c r="A22" s="29"/>
      <c r="B22" s="29"/>
      <c r="C22" s="29"/>
      <c r="D22" s="33"/>
      <c r="E22" s="34" t="str">
        <f aca="true">IF(D22="","",DATEDIF(D22,TODAY(),"y"))</f>
        <v/>
      </c>
      <c r="F22" s="29"/>
      <c r="G22" s="29"/>
      <c r="H22" s="29"/>
      <c r="I22" s="29"/>
      <c r="J22" s="29"/>
      <c r="K22" s="29"/>
      <c r="L22" s="30"/>
      <c r="M22" s="29"/>
      <c r="N22" s="33"/>
      <c r="O22" s="29"/>
      <c r="P22" s="29"/>
      <c r="Q22" s="29"/>
      <c r="R22" s="29"/>
      <c r="S22" s="29"/>
    </row>
    <row r="23" customFormat="false" ht="15" hidden="false" customHeight="false" outlineLevel="0" collapsed="false">
      <c r="A23" s="29"/>
      <c r="B23" s="29"/>
      <c r="C23" s="29"/>
      <c r="D23" s="33"/>
      <c r="E23" s="34" t="str">
        <f aca="true">IF(D23="","",DATEDIF(D23,TODAY(),"y"))</f>
        <v/>
      </c>
      <c r="F23" s="29"/>
      <c r="G23" s="29"/>
      <c r="H23" s="29"/>
      <c r="I23" s="29"/>
      <c r="J23" s="29"/>
      <c r="K23" s="29"/>
      <c r="L23" s="30"/>
      <c r="M23" s="29"/>
      <c r="N23" s="33"/>
      <c r="O23" s="29"/>
      <c r="P23" s="29"/>
      <c r="Q23" s="29"/>
      <c r="R23" s="29"/>
      <c r="S23" s="29"/>
    </row>
    <row r="24" customFormat="false" ht="15" hidden="false" customHeight="false" outlineLevel="0" collapsed="false">
      <c r="A24" s="29"/>
      <c r="B24" s="29"/>
      <c r="C24" s="29"/>
      <c r="D24" s="33"/>
      <c r="E24" s="34" t="str">
        <f aca="true">IF(D24="","",DATEDIF(D24,TODAY(),"y"))</f>
        <v/>
      </c>
      <c r="F24" s="29"/>
      <c r="G24" s="29"/>
      <c r="H24" s="29"/>
      <c r="I24" s="29"/>
      <c r="J24" s="29"/>
      <c r="K24" s="29"/>
      <c r="L24" s="30"/>
      <c r="M24" s="29"/>
      <c r="N24" s="33"/>
      <c r="O24" s="29"/>
      <c r="P24" s="29"/>
      <c r="Q24" s="29"/>
      <c r="R24" s="29"/>
      <c r="S24" s="29"/>
    </row>
    <row r="25" customFormat="false" ht="15" hidden="false" customHeight="false" outlineLevel="0" collapsed="false">
      <c r="A25" s="29"/>
      <c r="B25" s="29"/>
      <c r="C25" s="29"/>
      <c r="D25" s="33"/>
      <c r="E25" s="34" t="str">
        <f aca="true">IF(D25="","",DATEDIF(D25,TODAY(),"y"))</f>
        <v/>
      </c>
      <c r="F25" s="29"/>
      <c r="G25" s="29"/>
      <c r="H25" s="29"/>
      <c r="I25" s="29"/>
      <c r="J25" s="29"/>
      <c r="K25" s="29"/>
      <c r="L25" s="30"/>
      <c r="M25" s="29"/>
      <c r="N25" s="33"/>
      <c r="O25" s="29"/>
      <c r="P25" s="29"/>
      <c r="Q25" s="29"/>
      <c r="R25" s="29"/>
      <c r="S25" s="29"/>
    </row>
    <row r="26" customFormat="false" ht="15" hidden="false" customHeight="false" outlineLevel="0" collapsed="false">
      <c r="A26" s="29"/>
      <c r="B26" s="29"/>
      <c r="C26" s="29"/>
      <c r="D26" s="33"/>
      <c r="E26" s="34" t="str">
        <f aca="true">IF(D26="","",DATEDIF(D26,TODAY(),"y"))</f>
        <v/>
      </c>
      <c r="F26" s="29"/>
      <c r="G26" s="29"/>
      <c r="H26" s="29"/>
      <c r="I26" s="29"/>
      <c r="J26" s="29"/>
      <c r="K26" s="29"/>
      <c r="L26" s="30"/>
      <c r="M26" s="29"/>
      <c r="N26" s="33"/>
      <c r="O26" s="29"/>
      <c r="P26" s="29"/>
      <c r="Q26" s="29"/>
      <c r="R26" s="29"/>
      <c r="S26" s="29"/>
    </row>
    <row r="27" customFormat="false" ht="15" hidden="false" customHeight="false" outlineLevel="0" collapsed="false">
      <c r="A27" s="29"/>
      <c r="B27" s="29"/>
      <c r="C27" s="29"/>
      <c r="D27" s="33"/>
      <c r="E27" s="34" t="str">
        <f aca="true">IF(D27="","",DATEDIF(D27,TODAY(),"y"))</f>
        <v/>
      </c>
      <c r="F27" s="29"/>
      <c r="G27" s="29"/>
      <c r="H27" s="29"/>
      <c r="I27" s="29"/>
      <c r="J27" s="29"/>
      <c r="K27" s="29"/>
      <c r="L27" s="30"/>
      <c r="M27" s="29"/>
      <c r="N27" s="33"/>
      <c r="O27" s="29"/>
      <c r="P27" s="29"/>
      <c r="Q27" s="29"/>
      <c r="R27" s="29"/>
      <c r="S27" s="29"/>
    </row>
    <row r="28" customFormat="false" ht="15" hidden="false" customHeight="false" outlineLevel="0" collapsed="false">
      <c r="A28" s="29"/>
      <c r="B28" s="29"/>
      <c r="C28" s="29"/>
      <c r="D28" s="33"/>
      <c r="E28" s="34" t="str">
        <f aca="true">IF(D28="","",DATEDIF(D28,TODAY(),"y"))</f>
        <v/>
      </c>
      <c r="F28" s="29"/>
      <c r="G28" s="29"/>
      <c r="H28" s="29"/>
      <c r="I28" s="29"/>
      <c r="J28" s="29"/>
      <c r="K28" s="29"/>
      <c r="L28" s="30"/>
      <c r="M28" s="29"/>
      <c r="N28" s="33"/>
      <c r="O28" s="29"/>
      <c r="P28" s="29"/>
      <c r="Q28" s="29"/>
      <c r="R28" s="29"/>
      <c r="S28" s="29"/>
    </row>
    <row r="29" customFormat="false" ht="15" hidden="false" customHeight="false" outlineLevel="0" collapsed="false">
      <c r="A29" s="29"/>
      <c r="B29" s="29"/>
      <c r="C29" s="29"/>
      <c r="D29" s="33"/>
      <c r="E29" s="34" t="str">
        <f aca="true">IF(D29="","",DATEDIF(D29,TODAY(),"y"))</f>
        <v/>
      </c>
      <c r="F29" s="29"/>
      <c r="G29" s="29"/>
      <c r="H29" s="29"/>
      <c r="I29" s="29"/>
      <c r="J29" s="29"/>
      <c r="K29" s="29"/>
      <c r="L29" s="30"/>
      <c r="M29" s="29"/>
      <c r="N29" s="33"/>
      <c r="O29" s="29"/>
      <c r="P29" s="29"/>
      <c r="Q29" s="29"/>
      <c r="R29" s="29"/>
      <c r="S29" s="29"/>
    </row>
    <row r="30" customFormat="false" ht="15" hidden="false" customHeight="false" outlineLevel="0" collapsed="false">
      <c r="A30" s="29"/>
      <c r="B30" s="29"/>
      <c r="C30" s="29"/>
      <c r="D30" s="33"/>
      <c r="E30" s="34" t="str">
        <f aca="true">IF(D30="","",DATEDIF(D30,TODAY(),"y"))</f>
        <v/>
      </c>
      <c r="F30" s="29"/>
      <c r="G30" s="29"/>
      <c r="H30" s="29"/>
      <c r="I30" s="29"/>
      <c r="J30" s="29"/>
      <c r="K30" s="29"/>
      <c r="L30" s="30"/>
      <c r="M30" s="29"/>
      <c r="N30" s="33"/>
      <c r="O30" s="29"/>
      <c r="P30" s="29"/>
      <c r="Q30" s="29"/>
      <c r="R30" s="29"/>
      <c r="S30" s="29"/>
    </row>
    <row r="31" customFormat="false" ht="15" hidden="false" customHeight="false" outlineLevel="0" collapsed="false">
      <c r="A31" s="29"/>
      <c r="B31" s="29"/>
      <c r="C31" s="29"/>
      <c r="D31" s="33"/>
      <c r="E31" s="34" t="str">
        <f aca="true">IF(D31="","",DATEDIF(D31,TODAY(),"y"))</f>
        <v/>
      </c>
      <c r="F31" s="29"/>
      <c r="G31" s="29"/>
      <c r="H31" s="29"/>
      <c r="I31" s="29"/>
      <c r="J31" s="29"/>
      <c r="K31" s="29"/>
      <c r="L31" s="30"/>
      <c r="M31" s="29"/>
      <c r="N31" s="33"/>
      <c r="O31" s="29"/>
      <c r="P31" s="29"/>
      <c r="Q31" s="29"/>
      <c r="R31" s="29"/>
      <c r="S31" s="29"/>
    </row>
    <row r="32" customFormat="false" ht="15" hidden="false" customHeight="false" outlineLevel="0" collapsed="false">
      <c r="A32" s="29"/>
      <c r="B32" s="29"/>
      <c r="C32" s="29"/>
      <c r="D32" s="33"/>
      <c r="E32" s="34" t="str">
        <f aca="true">IF(D32="","",DATEDIF(D32,TODAY(),"y"))</f>
        <v/>
      </c>
      <c r="F32" s="29"/>
      <c r="G32" s="29"/>
      <c r="H32" s="29"/>
      <c r="I32" s="29"/>
      <c r="J32" s="29"/>
      <c r="K32" s="29"/>
      <c r="L32" s="30"/>
      <c r="M32" s="29"/>
      <c r="N32" s="33"/>
      <c r="O32" s="29"/>
      <c r="P32" s="29"/>
      <c r="Q32" s="29"/>
      <c r="R32" s="29"/>
      <c r="S32" s="29"/>
    </row>
    <row r="33" customFormat="false" ht="15" hidden="false" customHeight="false" outlineLevel="0" collapsed="false">
      <c r="A33" s="29"/>
      <c r="B33" s="29"/>
      <c r="C33" s="29"/>
      <c r="D33" s="33"/>
      <c r="E33" s="34" t="str">
        <f aca="true">IF(D33="","",DATEDIF(D33,TODAY(),"y"))</f>
        <v/>
      </c>
      <c r="F33" s="29"/>
      <c r="G33" s="29"/>
      <c r="H33" s="29"/>
      <c r="I33" s="29"/>
      <c r="J33" s="29"/>
      <c r="K33" s="29"/>
      <c r="L33" s="30"/>
      <c r="M33" s="29"/>
      <c r="N33" s="33"/>
      <c r="O33" s="29"/>
      <c r="P33" s="29"/>
      <c r="Q33" s="29"/>
      <c r="R33" s="29"/>
      <c r="S33" s="29"/>
    </row>
    <row r="34" customFormat="false" ht="15" hidden="false" customHeight="false" outlineLevel="0" collapsed="false">
      <c r="A34" s="29"/>
      <c r="B34" s="29"/>
      <c r="C34" s="29"/>
      <c r="D34" s="33"/>
      <c r="E34" s="34" t="str">
        <f aca="true">IF(D34="","",DATEDIF(D34,TODAY(),"y"))</f>
        <v/>
      </c>
      <c r="F34" s="29"/>
      <c r="G34" s="29"/>
      <c r="H34" s="29"/>
      <c r="I34" s="29"/>
      <c r="J34" s="29"/>
      <c r="K34" s="29"/>
      <c r="L34" s="30"/>
      <c r="M34" s="29"/>
      <c r="N34" s="33"/>
      <c r="O34" s="29"/>
      <c r="P34" s="29"/>
      <c r="Q34" s="29"/>
      <c r="R34" s="29"/>
      <c r="S34" s="29"/>
    </row>
    <row r="35" customFormat="false" ht="15" hidden="false" customHeight="false" outlineLevel="0" collapsed="false">
      <c r="A35" s="29"/>
      <c r="B35" s="29"/>
      <c r="C35" s="29"/>
      <c r="D35" s="33"/>
      <c r="E35" s="34" t="str">
        <f aca="true">IF(D35="","",DATEDIF(D35,TODAY(),"y"))</f>
        <v/>
      </c>
      <c r="F35" s="29"/>
      <c r="G35" s="29"/>
      <c r="H35" s="29"/>
      <c r="I35" s="29"/>
      <c r="J35" s="29"/>
      <c r="K35" s="29"/>
      <c r="L35" s="30"/>
      <c r="M35" s="29"/>
      <c r="N35" s="33"/>
      <c r="O35" s="29"/>
      <c r="P35" s="29"/>
      <c r="Q35" s="29"/>
      <c r="R35" s="29"/>
      <c r="S35" s="29"/>
    </row>
    <row r="36" customFormat="false" ht="15" hidden="false" customHeight="false" outlineLevel="0" collapsed="false">
      <c r="A36" s="29"/>
      <c r="B36" s="29"/>
      <c r="C36" s="29"/>
      <c r="D36" s="33"/>
      <c r="E36" s="34" t="str">
        <f aca="true">IF(D36="","",DATEDIF(D36,TODAY(),"y"))</f>
        <v/>
      </c>
      <c r="F36" s="29"/>
      <c r="G36" s="29"/>
      <c r="H36" s="29"/>
      <c r="I36" s="29"/>
      <c r="J36" s="29"/>
      <c r="K36" s="29"/>
      <c r="L36" s="30"/>
      <c r="M36" s="29"/>
      <c r="N36" s="33"/>
      <c r="O36" s="29"/>
      <c r="P36" s="29"/>
      <c r="Q36" s="29"/>
      <c r="R36" s="29"/>
      <c r="S36" s="29"/>
    </row>
    <row r="37" customFormat="false" ht="15" hidden="false" customHeight="false" outlineLevel="0" collapsed="false">
      <c r="A37" s="29"/>
      <c r="B37" s="29"/>
      <c r="C37" s="29"/>
      <c r="D37" s="33"/>
      <c r="E37" s="34" t="str">
        <f aca="true">IF(D37="","",DATEDIF(D37,TODAY(),"y"))</f>
        <v/>
      </c>
      <c r="F37" s="29"/>
      <c r="G37" s="29"/>
      <c r="H37" s="29"/>
      <c r="I37" s="29"/>
      <c r="J37" s="29"/>
      <c r="K37" s="29"/>
      <c r="L37" s="30"/>
      <c r="M37" s="29"/>
      <c r="N37" s="33"/>
      <c r="O37" s="29"/>
      <c r="P37" s="29"/>
      <c r="Q37" s="29"/>
      <c r="R37" s="29"/>
      <c r="S37" s="29"/>
    </row>
    <row r="38" customFormat="false" ht="15" hidden="false" customHeight="false" outlineLevel="0" collapsed="false">
      <c r="A38" s="29"/>
      <c r="B38" s="29"/>
      <c r="C38" s="29"/>
      <c r="D38" s="33"/>
      <c r="E38" s="34" t="str">
        <f aca="true">IF(D38="","",DATEDIF(D38,TODAY(),"y"))</f>
        <v/>
      </c>
      <c r="F38" s="29"/>
      <c r="G38" s="29"/>
      <c r="H38" s="29"/>
      <c r="I38" s="29"/>
      <c r="J38" s="29"/>
      <c r="K38" s="29"/>
      <c r="L38" s="30"/>
      <c r="M38" s="29"/>
      <c r="N38" s="33"/>
      <c r="O38" s="29"/>
      <c r="P38" s="29"/>
      <c r="Q38" s="29"/>
      <c r="R38" s="29"/>
      <c r="S38" s="29"/>
    </row>
    <row r="39" customFormat="false" ht="15" hidden="false" customHeight="false" outlineLevel="0" collapsed="false">
      <c r="A39" s="29"/>
      <c r="B39" s="29"/>
      <c r="C39" s="29"/>
      <c r="D39" s="33"/>
      <c r="E39" s="34" t="str">
        <f aca="true">IF(D39="","",DATEDIF(D39,TODAY(),"y"))</f>
        <v/>
      </c>
      <c r="F39" s="29"/>
      <c r="G39" s="29"/>
      <c r="H39" s="29"/>
      <c r="I39" s="29"/>
      <c r="J39" s="29"/>
      <c r="K39" s="29"/>
      <c r="L39" s="30"/>
      <c r="M39" s="29"/>
      <c r="N39" s="33"/>
      <c r="O39" s="29"/>
      <c r="P39" s="29"/>
      <c r="Q39" s="29"/>
      <c r="R39" s="29"/>
      <c r="S39" s="29"/>
    </row>
    <row r="40" customFormat="false" ht="15" hidden="false" customHeight="false" outlineLevel="0" collapsed="false">
      <c r="A40" s="29"/>
      <c r="B40" s="29"/>
      <c r="C40" s="29"/>
      <c r="D40" s="33"/>
      <c r="E40" s="34" t="str">
        <f aca="true">IF(D40="","",DATEDIF(D40,TODAY(),"y"))</f>
        <v/>
      </c>
      <c r="F40" s="29"/>
      <c r="G40" s="29"/>
      <c r="H40" s="29"/>
      <c r="I40" s="29"/>
      <c r="J40" s="29"/>
      <c r="K40" s="29"/>
      <c r="L40" s="30"/>
      <c r="M40" s="29"/>
      <c r="N40" s="33"/>
      <c r="O40" s="29"/>
      <c r="P40" s="29"/>
      <c r="Q40" s="29"/>
      <c r="R40" s="29"/>
      <c r="S40" s="29"/>
    </row>
    <row r="41" customFormat="false" ht="15" hidden="false" customHeight="false" outlineLevel="0" collapsed="false">
      <c r="A41" s="29"/>
      <c r="B41" s="29"/>
      <c r="C41" s="29"/>
      <c r="D41" s="33"/>
      <c r="E41" s="34" t="str">
        <f aca="true">IF(D41="","",DATEDIF(D41,TODAY(),"y"))</f>
        <v/>
      </c>
      <c r="F41" s="29"/>
      <c r="G41" s="29"/>
      <c r="H41" s="29"/>
      <c r="I41" s="29"/>
      <c r="J41" s="29"/>
      <c r="K41" s="29"/>
      <c r="L41" s="30"/>
      <c r="M41" s="29"/>
      <c r="N41" s="33"/>
      <c r="O41" s="29"/>
      <c r="P41" s="29"/>
      <c r="Q41" s="29"/>
      <c r="R41" s="29"/>
      <c r="S41" s="29"/>
    </row>
    <row r="42" customFormat="false" ht="15" hidden="false" customHeight="false" outlineLevel="0" collapsed="false">
      <c r="A42" s="29"/>
      <c r="B42" s="29"/>
      <c r="C42" s="29"/>
      <c r="D42" s="33"/>
      <c r="E42" s="34" t="str">
        <f aca="true">IF(D42="","",DATEDIF(D42,TODAY(),"y"))</f>
        <v/>
      </c>
      <c r="F42" s="29"/>
      <c r="G42" s="29"/>
      <c r="H42" s="29"/>
      <c r="I42" s="29"/>
      <c r="J42" s="29"/>
      <c r="K42" s="29"/>
      <c r="L42" s="30"/>
      <c r="M42" s="29"/>
      <c r="N42" s="33"/>
      <c r="O42" s="29"/>
      <c r="P42" s="29"/>
      <c r="Q42" s="29"/>
      <c r="R42" s="29"/>
      <c r="S42" s="29"/>
    </row>
    <row r="43" customFormat="false" ht="15" hidden="false" customHeight="false" outlineLevel="0" collapsed="false">
      <c r="A43" s="29"/>
      <c r="B43" s="29"/>
      <c r="C43" s="29"/>
      <c r="D43" s="33"/>
      <c r="E43" s="34" t="str">
        <f aca="true">IF(D43="","",DATEDIF(D43,TODAY(),"y"))</f>
        <v/>
      </c>
      <c r="F43" s="29"/>
      <c r="G43" s="29"/>
      <c r="H43" s="29"/>
      <c r="I43" s="29"/>
      <c r="J43" s="29"/>
      <c r="K43" s="29"/>
      <c r="L43" s="30"/>
      <c r="M43" s="29"/>
      <c r="N43" s="33"/>
      <c r="O43" s="29"/>
      <c r="P43" s="29"/>
      <c r="Q43" s="29"/>
      <c r="R43" s="29"/>
      <c r="S43" s="29"/>
    </row>
    <row r="44" customFormat="false" ht="15" hidden="false" customHeight="false" outlineLevel="0" collapsed="false">
      <c r="A44" s="29"/>
      <c r="B44" s="29"/>
      <c r="C44" s="29"/>
      <c r="D44" s="33"/>
      <c r="E44" s="34" t="str">
        <f aca="true">IF(D44="","",DATEDIF(D44,TODAY(),"y"))</f>
        <v/>
      </c>
      <c r="F44" s="29"/>
      <c r="G44" s="29"/>
      <c r="H44" s="29"/>
      <c r="I44" s="29"/>
      <c r="J44" s="29"/>
      <c r="K44" s="29"/>
      <c r="L44" s="30"/>
      <c r="M44" s="29"/>
      <c r="N44" s="33"/>
      <c r="O44" s="29"/>
      <c r="P44" s="29"/>
      <c r="Q44" s="29"/>
      <c r="R44" s="29"/>
      <c r="S44" s="29"/>
    </row>
    <row r="45" customFormat="false" ht="15" hidden="false" customHeight="false" outlineLevel="0" collapsed="false">
      <c r="A45" s="29"/>
      <c r="B45" s="29"/>
      <c r="C45" s="29"/>
      <c r="D45" s="33"/>
      <c r="E45" s="34" t="str">
        <f aca="true">IF(D45="","",DATEDIF(D45,TODAY(),"y"))</f>
        <v/>
      </c>
      <c r="F45" s="29"/>
      <c r="G45" s="29"/>
      <c r="H45" s="29"/>
      <c r="I45" s="29"/>
      <c r="J45" s="29"/>
      <c r="K45" s="29"/>
      <c r="L45" s="30"/>
      <c r="M45" s="29"/>
      <c r="N45" s="33"/>
      <c r="O45" s="29"/>
      <c r="P45" s="29"/>
      <c r="Q45" s="29"/>
      <c r="R45" s="29"/>
      <c r="S45" s="29"/>
    </row>
    <row r="46" customFormat="false" ht="15" hidden="false" customHeight="false" outlineLevel="0" collapsed="false">
      <c r="A46" s="29"/>
      <c r="B46" s="29"/>
      <c r="C46" s="29"/>
      <c r="D46" s="33"/>
      <c r="E46" s="34" t="str">
        <f aca="true">IF(D46="","",DATEDIF(D46,TODAY(),"y"))</f>
        <v/>
      </c>
      <c r="F46" s="29"/>
      <c r="G46" s="29"/>
      <c r="H46" s="29"/>
      <c r="I46" s="29"/>
      <c r="J46" s="29"/>
      <c r="K46" s="29"/>
      <c r="L46" s="30"/>
      <c r="M46" s="29"/>
      <c r="N46" s="33"/>
      <c r="O46" s="29"/>
      <c r="P46" s="29"/>
      <c r="Q46" s="29"/>
      <c r="R46" s="29"/>
      <c r="S46" s="29"/>
    </row>
    <row r="47" customFormat="false" ht="15" hidden="false" customHeight="false" outlineLevel="0" collapsed="false">
      <c r="A47" s="29"/>
      <c r="B47" s="29"/>
      <c r="C47" s="29"/>
      <c r="D47" s="33"/>
      <c r="E47" s="34" t="str">
        <f aca="true">IF(D47="","",DATEDIF(D47,TODAY(),"y"))</f>
        <v/>
      </c>
      <c r="F47" s="29"/>
      <c r="G47" s="29"/>
      <c r="H47" s="29"/>
      <c r="I47" s="29"/>
      <c r="J47" s="29"/>
      <c r="K47" s="29"/>
      <c r="L47" s="30"/>
      <c r="M47" s="29"/>
      <c r="N47" s="33"/>
      <c r="O47" s="29"/>
      <c r="P47" s="29"/>
      <c r="Q47" s="29"/>
      <c r="R47" s="29"/>
      <c r="S47" s="29"/>
    </row>
    <row r="48" customFormat="false" ht="15" hidden="false" customHeight="false" outlineLevel="0" collapsed="false">
      <c r="A48" s="29"/>
      <c r="B48" s="29"/>
      <c r="C48" s="29"/>
      <c r="D48" s="33"/>
      <c r="E48" s="34" t="str">
        <f aca="true">IF(D48="","",DATEDIF(D48,TODAY(),"y"))</f>
        <v/>
      </c>
      <c r="F48" s="29"/>
      <c r="G48" s="29"/>
      <c r="H48" s="29"/>
      <c r="I48" s="29"/>
      <c r="J48" s="29"/>
      <c r="K48" s="29"/>
      <c r="L48" s="30"/>
      <c r="M48" s="29"/>
      <c r="N48" s="33"/>
      <c r="O48" s="29"/>
      <c r="P48" s="29"/>
      <c r="Q48" s="29"/>
      <c r="R48" s="29"/>
      <c r="S48" s="29"/>
    </row>
    <row r="49" customFormat="false" ht="15" hidden="false" customHeight="false" outlineLevel="0" collapsed="false">
      <c r="A49" s="29"/>
      <c r="B49" s="29"/>
      <c r="C49" s="29"/>
      <c r="D49" s="33"/>
      <c r="E49" s="34" t="str">
        <f aca="true">IF(D49="","",DATEDIF(D49,TODAY(),"y"))</f>
        <v/>
      </c>
      <c r="F49" s="29"/>
      <c r="G49" s="29"/>
      <c r="H49" s="29"/>
      <c r="I49" s="29"/>
      <c r="J49" s="29"/>
      <c r="K49" s="29"/>
      <c r="L49" s="30"/>
      <c r="M49" s="29"/>
      <c r="N49" s="33"/>
      <c r="O49" s="29"/>
      <c r="P49" s="29"/>
      <c r="Q49" s="29"/>
      <c r="R49" s="29"/>
      <c r="S49" s="29"/>
    </row>
    <row r="50" customFormat="false" ht="15" hidden="false" customHeight="false" outlineLevel="0" collapsed="false">
      <c r="A50" s="29"/>
      <c r="B50" s="29"/>
      <c r="C50" s="29"/>
      <c r="D50" s="33"/>
      <c r="E50" s="34" t="str">
        <f aca="true">IF(D50="","",DATEDIF(D50,TODAY(),"y"))</f>
        <v/>
      </c>
      <c r="F50" s="29"/>
      <c r="G50" s="29"/>
      <c r="H50" s="29"/>
      <c r="I50" s="29"/>
      <c r="J50" s="29"/>
      <c r="K50" s="29"/>
      <c r="L50" s="30"/>
      <c r="M50" s="29"/>
      <c r="N50" s="33"/>
      <c r="O50" s="29"/>
      <c r="P50" s="29"/>
      <c r="Q50" s="29"/>
      <c r="R50" s="29"/>
      <c r="S50" s="29"/>
    </row>
    <row r="51" customFormat="false" ht="15" hidden="false" customHeight="false" outlineLevel="0" collapsed="false">
      <c r="A51" s="29"/>
      <c r="B51" s="29"/>
      <c r="C51" s="29"/>
      <c r="D51" s="33"/>
      <c r="E51" s="34" t="str">
        <f aca="true">IF(D51="","",DATEDIF(D51,TODAY(),"y"))</f>
        <v/>
      </c>
      <c r="F51" s="29"/>
      <c r="G51" s="29"/>
      <c r="H51" s="29"/>
      <c r="I51" s="29"/>
      <c r="J51" s="29"/>
      <c r="K51" s="29"/>
      <c r="L51" s="30"/>
      <c r="M51" s="29"/>
      <c r="N51" s="33"/>
      <c r="O51" s="29"/>
      <c r="P51" s="29"/>
      <c r="Q51" s="29"/>
      <c r="R51" s="29"/>
      <c r="S51" s="29"/>
    </row>
    <row r="52" customFormat="false" ht="15" hidden="false" customHeight="false" outlineLevel="0" collapsed="false">
      <c r="A52" s="29"/>
      <c r="B52" s="29"/>
      <c r="C52" s="29"/>
      <c r="D52" s="33"/>
      <c r="E52" s="34" t="str">
        <f aca="true">IF(D52="","",DATEDIF(D52,TODAY(),"y"))</f>
        <v/>
      </c>
      <c r="F52" s="29"/>
      <c r="G52" s="29"/>
      <c r="H52" s="29"/>
      <c r="I52" s="29"/>
      <c r="J52" s="29"/>
      <c r="K52" s="29"/>
      <c r="L52" s="30"/>
      <c r="M52" s="29"/>
      <c r="N52" s="33"/>
      <c r="O52" s="29"/>
      <c r="P52" s="29"/>
      <c r="Q52" s="29"/>
      <c r="R52" s="29"/>
      <c r="S52" s="29"/>
    </row>
    <row r="53" customFormat="false" ht="15" hidden="false" customHeight="false" outlineLevel="0" collapsed="false">
      <c r="A53" s="29"/>
      <c r="B53" s="29"/>
      <c r="C53" s="29"/>
      <c r="D53" s="33"/>
      <c r="E53" s="34" t="str">
        <f aca="true">IF(D53="","",DATEDIF(D53,TODAY(),"y"))</f>
        <v/>
      </c>
      <c r="F53" s="29"/>
      <c r="G53" s="29"/>
      <c r="H53" s="29"/>
      <c r="I53" s="29"/>
      <c r="J53" s="29"/>
      <c r="K53" s="29"/>
      <c r="L53" s="30"/>
      <c r="M53" s="29"/>
      <c r="N53" s="33"/>
      <c r="O53" s="29"/>
      <c r="P53" s="29"/>
      <c r="Q53" s="29"/>
      <c r="R53" s="29"/>
      <c r="S53" s="29"/>
    </row>
    <row r="54" customFormat="false" ht="15" hidden="false" customHeight="false" outlineLevel="0" collapsed="false">
      <c r="A54" s="29"/>
      <c r="B54" s="29"/>
      <c r="C54" s="29"/>
      <c r="D54" s="33"/>
      <c r="E54" s="34" t="str">
        <f aca="true">IF(D54="","",DATEDIF(D54,TODAY(),"y"))</f>
        <v/>
      </c>
      <c r="F54" s="29"/>
      <c r="G54" s="29"/>
      <c r="H54" s="29"/>
      <c r="I54" s="29"/>
      <c r="J54" s="29"/>
      <c r="K54" s="29"/>
      <c r="L54" s="30"/>
      <c r="M54" s="29"/>
      <c r="N54" s="33"/>
      <c r="O54" s="29"/>
      <c r="P54" s="29"/>
      <c r="Q54" s="29"/>
      <c r="R54" s="29"/>
      <c r="S54" s="29"/>
    </row>
    <row r="55" customFormat="false" ht="15" hidden="false" customHeight="false" outlineLevel="0" collapsed="false">
      <c r="A55" s="29"/>
      <c r="B55" s="29"/>
      <c r="C55" s="29"/>
      <c r="D55" s="33"/>
      <c r="E55" s="34" t="str">
        <f aca="true">IF(D55="","",DATEDIF(D55,TODAY(),"y"))</f>
        <v/>
      </c>
      <c r="F55" s="29"/>
      <c r="G55" s="29"/>
      <c r="H55" s="29"/>
      <c r="I55" s="29"/>
      <c r="J55" s="29"/>
      <c r="K55" s="29"/>
      <c r="L55" s="30"/>
      <c r="M55" s="29"/>
      <c r="N55" s="33"/>
      <c r="O55" s="29"/>
      <c r="P55" s="29"/>
      <c r="Q55" s="29"/>
      <c r="R55" s="29"/>
      <c r="S55" s="29"/>
    </row>
  </sheetData>
  <mergeCells count="3">
    <mergeCell ref="A1:S1"/>
    <mergeCell ref="A2:S2"/>
    <mergeCell ref="A3:S3"/>
  </mergeCells>
  <dataValidations count="4">
    <dataValidation allowBlank="true" error="Pick one of the listed options, or add a new option on the Lists sheet." errorStyle="stop" errorTitle="Choose from the list" operator="between" showDropDown="false" showErrorMessage="true" showInputMessage="false" sqref="F6:F55" type="list">
      <formula1>"M,F"</formula1>
      <formula2>0</formula2>
    </dataValidation>
    <dataValidation allowBlank="true" error="Pick one of the listed options, or add a new option on the Lists sheet." errorStyle="stop" errorTitle="Choose from the list" operator="between" showDropDown="false" showErrorMessage="true" showInputMessage="false" sqref="J6:J55" type="list">
      <formula1>Lists!$A$2:$A$11</formula1>
      <formula2>0</formula2>
    </dataValidation>
    <dataValidation allowBlank="true" error="Pick one of the listed options, or add a new option on the Lists sheet." errorStyle="stop" errorTitle="Choose from the list" operator="between" showDropDown="false" showErrorMessage="true" showInputMessage="false" sqref="M6:M55" type="list">
      <formula1>Lists!$I$2:$I$5</formula1>
      <formula2>0</formula2>
    </dataValidation>
    <dataValidation allowBlank="true" error="Pick one of the listed options, or add a new option on the Lists sheet." errorStyle="stop" errorTitle="Choose from the list" operator="between" showDropDown="false" showErrorMessage="true" showInputMessage="false" sqref="O6:O55" type="list">
      <formula1>Lists!$K$2:$K$3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18"/>
    <col collapsed="false" customWidth="true" hidden="false" outlineLevel="0" max="4" min="4" style="0" width="15"/>
    <col collapsed="false" customWidth="true" hidden="false" outlineLevel="0" max="5" min="5" style="0" width="24"/>
    <col collapsed="false" customWidth="true" hidden="false" outlineLevel="0" max="6" min="6" style="0" width="12"/>
    <col collapsed="false" customWidth="true" hidden="false" outlineLevel="0" max="8" min="7" style="0" width="18"/>
    <col collapsed="false" customWidth="true" hidden="false" outlineLevel="0" max="9" min="9" style="0" width="16"/>
    <col collapsed="false" customWidth="true" hidden="false" outlineLevel="0" max="10" min="10" style="0" width="26"/>
  </cols>
  <sheetData>
    <row r="1" customFormat="false" ht="16.15" hidden="false" customHeight="false" outlineLevel="0" collapsed="false">
      <c r="A1" s="9" t="s">
        <v>199</v>
      </c>
      <c r="B1" s="9"/>
      <c r="C1" s="9"/>
      <c r="D1" s="9"/>
      <c r="E1" s="9"/>
      <c r="F1" s="9"/>
      <c r="G1" s="9"/>
      <c r="H1" s="9"/>
      <c r="I1" s="9"/>
      <c r="J1" s="9"/>
    </row>
    <row r="2" customFormat="false" ht="15" hidden="false" customHeight="false" outlineLevel="0" collapsed="false">
      <c r="A2" s="10" t="s">
        <v>200</v>
      </c>
      <c r="B2" s="10"/>
      <c r="C2" s="10"/>
      <c r="D2" s="10"/>
      <c r="E2" s="10"/>
      <c r="F2" s="10"/>
      <c r="G2" s="10"/>
      <c r="H2" s="10"/>
      <c r="I2" s="10"/>
      <c r="J2" s="10"/>
    </row>
    <row r="4" customFormat="false" ht="22.35" hidden="false" customHeight="false" outlineLevel="0" collapsed="false">
      <c r="A4" s="25" t="s">
        <v>201</v>
      </c>
      <c r="B4" s="25" t="s">
        <v>174</v>
      </c>
      <c r="C4" s="25" t="s">
        <v>202</v>
      </c>
      <c r="D4" s="25" t="s">
        <v>179</v>
      </c>
      <c r="E4" s="25" t="s">
        <v>203</v>
      </c>
      <c r="F4" s="25" t="s">
        <v>204</v>
      </c>
      <c r="G4" s="25" t="s">
        <v>205</v>
      </c>
      <c r="H4" s="25" t="s">
        <v>206</v>
      </c>
      <c r="I4" s="25" t="s">
        <v>207</v>
      </c>
      <c r="J4" s="25" t="s">
        <v>160</v>
      </c>
    </row>
    <row r="5" customFormat="false" ht="15" hidden="false" customHeight="false" outlineLevel="0" collapsed="false">
      <c r="A5" s="26" t="s">
        <v>161</v>
      </c>
      <c r="B5" s="27" t="s">
        <v>208</v>
      </c>
      <c r="C5" s="27" t="s">
        <v>209</v>
      </c>
      <c r="D5" s="27" t="s">
        <v>210</v>
      </c>
      <c r="E5" s="27" t="s">
        <v>193</v>
      </c>
      <c r="F5" s="27" t="s">
        <v>211</v>
      </c>
      <c r="G5" s="27" t="str">
        <f aca="false">IFERROR(IF(F5="","",VLOOKUP(F5,PORTFOLIO!$A:$C,3,0)),"Loan ID not found")</f>
        <v>Example Borrower</v>
      </c>
      <c r="H5" s="27" t="s">
        <v>212</v>
      </c>
      <c r="I5" s="28" t="n">
        <v>2000000</v>
      </c>
      <c r="J5" s="27" t="s">
        <v>198</v>
      </c>
    </row>
    <row r="6" customFormat="false" ht="15" hidden="false" customHeight="false" outlineLevel="0" collapsed="false">
      <c r="A6" s="29"/>
      <c r="B6" s="29"/>
      <c r="C6" s="29"/>
      <c r="D6" s="29"/>
      <c r="E6" s="29"/>
      <c r="F6" s="29"/>
      <c r="G6" s="29" t="str">
        <f aca="false">IFERROR(IF(F6="","",VLOOKUP(F6,PORTFOLIO!$A:$C,3,0)),"Loan ID not found")</f>
        <v/>
      </c>
      <c r="H6" s="29"/>
      <c r="I6" s="30"/>
      <c r="J6" s="29"/>
    </row>
    <row r="7" customFormat="false" ht="15" hidden="false" customHeight="false" outlineLevel="0" collapsed="false">
      <c r="A7" s="29"/>
      <c r="B7" s="29"/>
      <c r="C7" s="29"/>
      <c r="D7" s="29"/>
      <c r="E7" s="29"/>
      <c r="F7" s="29"/>
      <c r="G7" s="29" t="str">
        <f aca="false">IFERROR(IF(F7="","",VLOOKUP(F7,PORTFOLIO!$A:$C,3,0)),"Loan ID not found")</f>
        <v/>
      </c>
      <c r="H7" s="29"/>
      <c r="I7" s="30"/>
      <c r="J7" s="29"/>
    </row>
    <row r="8" customFormat="false" ht="15" hidden="false" customHeight="false" outlineLevel="0" collapsed="false">
      <c r="A8" s="29"/>
      <c r="B8" s="29"/>
      <c r="C8" s="29"/>
      <c r="D8" s="29"/>
      <c r="E8" s="29"/>
      <c r="F8" s="29"/>
      <c r="G8" s="29" t="str">
        <f aca="false">IFERROR(IF(F8="","",VLOOKUP(F8,PORTFOLIO!$A:$C,3,0)),"Loan ID not found")</f>
        <v/>
      </c>
      <c r="H8" s="29"/>
      <c r="I8" s="30"/>
      <c r="J8" s="29"/>
    </row>
    <row r="9" customFormat="false" ht="15" hidden="false" customHeight="false" outlineLevel="0" collapsed="false">
      <c r="A9" s="29"/>
      <c r="B9" s="29"/>
      <c r="C9" s="29"/>
      <c r="D9" s="29"/>
      <c r="E9" s="29"/>
      <c r="F9" s="29"/>
      <c r="G9" s="29" t="str">
        <f aca="false">IFERROR(IF(F9="","",VLOOKUP(F9,PORTFOLIO!$A:$C,3,0)),"Loan ID not found")</f>
        <v/>
      </c>
      <c r="H9" s="29"/>
      <c r="I9" s="30"/>
      <c r="J9" s="29"/>
    </row>
    <row r="10" customFormat="false" ht="15" hidden="false" customHeight="false" outlineLevel="0" collapsed="false">
      <c r="A10" s="29"/>
      <c r="B10" s="29"/>
      <c r="C10" s="29"/>
      <c r="D10" s="29"/>
      <c r="E10" s="29"/>
      <c r="F10" s="29"/>
      <c r="G10" s="29" t="str">
        <f aca="false">IFERROR(IF(F10="","",VLOOKUP(F10,PORTFOLIO!$A:$C,3,0)),"Loan ID not found")</f>
        <v/>
      </c>
      <c r="H10" s="29"/>
      <c r="I10" s="30"/>
      <c r="J10" s="29"/>
    </row>
    <row r="11" customFormat="false" ht="15" hidden="false" customHeight="false" outlineLevel="0" collapsed="false">
      <c r="A11" s="29"/>
      <c r="B11" s="29"/>
      <c r="C11" s="29"/>
      <c r="D11" s="29"/>
      <c r="E11" s="29"/>
      <c r="F11" s="29"/>
      <c r="G11" s="29" t="str">
        <f aca="false">IFERROR(IF(F11="","",VLOOKUP(F11,PORTFOLIO!$A:$C,3,0)),"Loan ID not found")</f>
        <v/>
      </c>
      <c r="H11" s="29"/>
      <c r="I11" s="30"/>
      <c r="J11" s="29"/>
    </row>
    <row r="12" customFormat="false" ht="15" hidden="false" customHeight="false" outlineLevel="0" collapsed="false">
      <c r="A12" s="29"/>
      <c r="B12" s="29"/>
      <c r="C12" s="29"/>
      <c r="D12" s="29"/>
      <c r="E12" s="29"/>
      <c r="F12" s="29"/>
      <c r="G12" s="29" t="str">
        <f aca="false">IFERROR(IF(F12="","",VLOOKUP(F12,PORTFOLIO!$A:$C,3,0)),"Loan ID not found")</f>
        <v/>
      </c>
      <c r="H12" s="29"/>
      <c r="I12" s="30"/>
      <c r="J12" s="29"/>
    </row>
    <row r="13" customFormat="false" ht="15" hidden="false" customHeight="false" outlineLevel="0" collapsed="false">
      <c r="A13" s="29"/>
      <c r="B13" s="29"/>
      <c r="C13" s="29"/>
      <c r="D13" s="29"/>
      <c r="E13" s="29"/>
      <c r="F13" s="29"/>
      <c r="G13" s="29" t="str">
        <f aca="false">IFERROR(IF(F13="","",VLOOKUP(F13,PORTFOLIO!$A:$C,3,0)),"Loan ID not found")</f>
        <v/>
      </c>
      <c r="H13" s="29"/>
      <c r="I13" s="30"/>
      <c r="J13" s="29"/>
    </row>
    <row r="14" customFormat="false" ht="15" hidden="false" customHeight="false" outlineLevel="0" collapsed="false">
      <c r="A14" s="29"/>
      <c r="B14" s="29"/>
      <c r="C14" s="29"/>
      <c r="D14" s="29"/>
      <c r="E14" s="29"/>
      <c r="F14" s="29"/>
      <c r="G14" s="29" t="str">
        <f aca="false">IFERROR(IF(F14="","",VLOOKUP(F14,PORTFOLIO!$A:$C,3,0)),"Loan ID not found")</f>
        <v/>
      </c>
      <c r="H14" s="29"/>
      <c r="I14" s="30"/>
      <c r="J14" s="29"/>
    </row>
    <row r="15" customFormat="false" ht="15" hidden="false" customHeight="false" outlineLevel="0" collapsed="false">
      <c r="A15" s="29"/>
      <c r="B15" s="29"/>
      <c r="C15" s="29"/>
      <c r="D15" s="29"/>
      <c r="E15" s="29"/>
      <c r="F15" s="29"/>
      <c r="G15" s="29" t="str">
        <f aca="false">IFERROR(IF(F15="","",VLOOKUP(F15,PORTFOLIO!$A:$C,3,0)),"Loan ID not found")</f>
        <v/>
      </c>
      <c r="H15" s="29"/>
      <c r="I15" s="30"/>
      <c r="J15" s="29"/>
    </row>
    <row r="16" customFormat="false" ht="15" hidden="false" customHeight="false" outlineLevel="0" collapsed="false">
      <c r="A16" s="29"/>
      <c r="B16" s="29"/>
      <c r="C16" s="29"/>
      <c r="D16" s="29"/>
      <c r="E16" s="29"/>
      <c r="F16" s="29"/>
      <c r="G16" s="29" t="str">
        <f aca="false">IFERROR(IF(F16="","",VLOOKUP(F16,PORTFOLIO!$A:$C,3,0)),"Loan ID not found")</f>
        <v/>
      </c>
      <c r="H16" s="29"/>
      <c r="I16" s="30"/>
      <c r="J16" s="29"/>
    </row>
    <row r="17" customFormat="false" ht="15" hidden="false" customHeight="false" outlineLevel="0" collapsed="false">
      <c r="A17" s="29"/>
      <c r="B17" s="29"/>
      <c r="C17" s="29"/>
      <c r="D17" s="29"/>
      <c r="E17" s="29"/>
      <c r="F17" s="29"/>
      <c r="G17" s="29" t="str">
        <f aca="false">IFERROR(IF(F17="","",VLOOKUP(F17,PORTFOLIO!$A:$C,3,0)),"Loan ID not found")</f>
        <v/>
      </c>
      <c r="H17" s="29"/>
      <c r="I17" s="30"/>
      <c r="J17" s="29"/>
    </row>
    <row r="18" customFormat="false" ht="15" hidden="false" customHeight="false" outlineLevel="0" collapsed="false">
      <c r="A18" s="29"/>
      <c r="B18" s="29"/>
      <c r="C18" s="29"/>
      <c r="D18" s="29"/>
      <c r="E18" s="29"/>
      <c r="F18" s="29"/>
      <c r="G18" s="29" t="str">
        <f aca="false">IFERROR(IF(F18="","",VLOOKUP(F18,PORTFOLIO!$A:$C,3,0)),"Loan ID not found")</f>
        <v/>
      </c>
      <c r="H18" s="29"/>
      <c r="I18" s="30"/>
      <c r="J18" s="29"/>
    </row>
    <row r="19" customFormat="false" ht="15" hidden="false" customHeight="false" outlineLevel="0" collapsed="false">
      <c r="A19" s="29"/>
      <c r="B19" s="29"/>
      <c r="C19" s="29"/>
      <c r="D19" s="29"/>
      <c r="E19" s="29"/>
      <c r="F19" s="29"/>
      <c r="G19" s="29" t="str">
        <f aca="false">IFERROR(IF(F19="","",VLOOKUP(F19,PORTFOLIO!$A:$C,3,0)),"Loan ID not found")</f>
        <v/>
      </c>
      <c r="H19" s="29"/>
      <c r="I19" s="30"/>
      <c r="J19" s="29"/>
    </row>
    <row r="20" customFormat="false" ht="15" hidden="false" customHeight="false" outlineLevel="0" collapsed="false">
      <c r="A20" s="29"/>
      <c r="B20" s="29"/>
      <c r="C20" s="29"/>
      <c r="D20" s="29"/>
      <c r="E20" s="29"/>
      <c r="F20" s="29"/>
      <c r="G20" s="29" t="str">
        <f aca="false">IFERROR(IF(F20="","",VLOOKUP(F20,PORTFOLIO!$A:$C,3,0)),"Loan ID not found")</f>
        <v/>
      </c>
      <c r="H20" s="29"/>
      <c r="I20" s="30"/>
      <c r="J20" s="29"/>
    </row>
    <row r="21" customFormat="false" ht="15" hidden="false" customHeight="false" outlineLevel="0" collapsed="false">
      <c r="A21" s="29"/>
      <c r="B21" s="29"/>
      <c r="C21" s="29"/>
      <c r="D21" s="29"/>
      <c r="E21" s="29"/>
      <c r="F21" s="29"/>
      <c r="G21" s="29" t="str">
        <f aca="false">IFERROR(IF(F21="","",VLOOKUP(F21,PORTFOLIO!$A:$C,3,0)),"Loan ID not found")</f>
        <v/>
      </c>
      <c r="H21" s="29"/>
      <c r="I21" s="30"/>
      <c r="J21" s="29"/>
    </row>
    <row r="22" customFormat="false" ht="15" hidden="false" customHeight="false" outlineLevel="0" collapsed="false">
      <c r="A22" s="29"/>
      <c r="B22" s="29"/>
      <c r="C22" s="29"/>
      <c r="D22" s="29"/>
      <c r="E22" s="29"/>
      <c r="F22" s="29"/>
      <c r="G22" s="29" t="str">
        <f aca="false">IFERROR(IF(F22="","",VLOOKUP(F22,PORTFOLIO!$A:$C,3,0)),"Loan ID not found")</f>
        <v/>
      </c>
      <c r="H22" s="29"/>
      <c r="I22" s="30"/>
      <c r="J22" s="29"/>
    </row>
    <row r="23" customFormat="false" ht="15" hidden="false" customHeight="false" outlineLevel="0" collapsed="false">
      <c r="A23" s="29"/>
      <c r="B23" s="29"/>
      <c r="C23" s="29"/>
      <c r="D23" s="29"/>
      <c r="E23" s="29"/>
      <c r="F23" s="29"/>
      <c r="G23" s="29" t="str">
        <f aca="false">IFERROR(IF(F23="","",VLOOKUP(F23,PORTFOLIO!$A:$C,3,0)),"Loan ID not found")</f>
        <v/>
      </c>
      <c r="H23" s="29"/>
      <c r="I23" s="30"/>
      <c r="J23" s="29"/>
    </row>
    <row r="24" customFormat="false" ht="15" hidden="false" customHeight="false" outlineLevel="0" collapsed="false">
      <c r="A24" s="29"/>
      <c r="B24" s="29"/>
      <c r="C24" s="29"/>
      <c r="D24" s="29"/>
      <c r="E24" s="29"/>
      <c r="F24" s="29"/>
      <c r="G24" s="29" t="str">
        <f aca="false">IFERROR(IF(F24="","",VLOOKUP(F24,PORTFOLIO!$A:$C,3,0)),"Loan ID not found")</f>
        <v/>
      </c>
      <c r="H24" s="29"/>
      <c r="I24" s="30"/>
      <c r="J24" s="29"/>
    </row>
    <row r="25" customFormat="false" ht="15" hidden="false" customHeight="false" outlineLevel="0" collapsed="false">
      <c r="A25" s="29"/>
      <c r="B25" s="29"/>
      <c r="C25" s="29"/>
      <c r="D25" s="29"/>
      <c r="E25" s="29"/>
      <c r="F25" s="29"/>
      <c r="G25" s="29" t="str">
        <f aca="false">IFERROR(IF(F25="","",VLOOKUP(F25,PORTFOLIO!$A:$C,3,0)),"Loan ID not found")</f>
        <v/>
      </c>
      <c r="H25" s="29"/>
      <c r="I25" s="30"/>
      <c r="J25" s="29"/>
    </row>
    <row r="26" customFormat="false" ht="15" hidden="false" customHeight="false" outlineLevel="0" collapsed="false">
      <c r="A26" s="29"/>
      <c r="B26" s="29"/>
      <c r="C26" s="29"/>
      <c r="D26" s="29"/>
      <c r="E26" s="29"/>
      <c r="F26" s="29"/>
      <c r="G26" s="29" t="str">
        <f aca="false">IFERROR(IF(F26="","",VLOOKUP(F26,PORTFOLIO!$A:$C,3,0)),"Loan ID not found")</f>
        <v/>
      </c>
      <c r="H26" s="29"/>
      <c r="I26" s="30"/>
      <c r="J26" s="29"/>
    </row>
    <row r="27" customFormat="false" ht="15" hidden="false" customHeight="false" outlineLevel="0" collapsed="false">
      <c r="A27" s="29"/>
      <c r="B27" s="29"/>
      <c r="C27" s="29"/>
      <c r="D27" s="29"/>
      <c r="E27" s="29"/>
      <c r="F27" s="29"/>
      <c r="G27" s="29" t="str">
        <f aca="false">IFERROR(IF(F27="","",VLOOKUP(F27,PORTFOLIO!$A:$C,3,0)),"Loan ID not found")</f>
        <v/>
      </c>
      <c r="H27" s="29"/>
      <c r="I27" s="30"/>
      <c r="J27" s="29"/>
    </row>
    <row r="28" customFormat="false" ht="15" hidden="false" customHeight="false" outlineLevel="0" collapsed="false">
      <c r="A28" s="29"/>
      <c r="B28" s="29"/>
      <c r="C28" s="29"/>
      <c r="D28" s="29"/>
      <c r="E28" s="29"/>
      <c r="F28" s="29"/>
      <c r="G28" s="29" t="str">
        <f aca="false">IFERROR(IF(F28="","",VLOOKUP(F28,PORTFOLIO!$A:$C,3,0)),"Loan ID not found")</f>
        <v/>
      </c>
      <c r="H28" s="29"/>
      <c r="I28" s="30"/>
      <c r="J28" s="29"/>
    </row>
    <row r="29" customFormat="false" ht="15" hidden="false" customHeight="false" outlineLevel="0" collapsed="false">
      <c r="A29" s="29"/>
      <c r="B29" s="29"/>
      <c r="C29" s="29"/>
      <c r="D29" s="29"/>
      <c r="E29" s="29"/>
      <c r="F29" s="29"/>
      <c r="G29" s="29" t="str">
        <f aca="false">IFERROR(IF(F29="","",VLOOKUP(F29,PORTFOLIO!$A:$C,3,0)),"Loan ID not found")</f>
        <v/>
      </c>
      <c r="H29" s="29"/>
      <c r="I29" s="30"/>
      <c r="J29" s="29"/>
    </row>
    <row r="30" customFormat="false" ht="15" hidden="false" customHeight="false" outlineLevel="0" collapsed="false">
      <c r="A30" s="29"/>
      <c r="B30" s="29"/>
      <c r="C30" s="29"/>
      <c r="D30" s="29"/>
      <c r="E30" s="29"/>
      <c r="F30" s="29"/>
      <c r="G30" s="29" t="str">
        <f aca="false">IFERROR(IF(F30="","",VLOOKUP(F30,PORTFOLIO!$A:$C,3,0)),"Loan ID not found")</f>
        <v/>
      </c>
      <c r="H30" s="29"/>
      <c r="I30" s="30"/>
      <c r="J30" s="29"/>
    </row>
    <row r="31" customFormat="false" ht="15" hidden="false" customHeight="false" outlineLevel="0" collapsed="false">
      <c r="A31" s="29"/>
      <c r="B31" s="29"/>
      <c r="C31" s="29"/>
      <c r="D31" s="29"/>
      <c r="E31" s="29"/>
      <c r="F31" s="29"/>
      <c r="G31" s="29" t="str">
        <f aca="false">IFERROR(IF(F31="","",VLOOKUP(F31,PORTFOLIO!$A:$C,3,0)),"Loan ID not found")</f>
        <v/>
      </c>
      <c r="H31" s="29"/>
      <c r="I31" s="30"/>
      <c r="J31" s="29"/>
    </row>
    <row r="32" customFormat="false" ht="15" hidden="false" customHeight="false" outlineLevel="0" collapsed="false">
      <c r="A32" s="29"/>
      <c r="B32" s="29"/>
      <c r="C32" s="29"/>
      <c r="D32" s="29"/>
      <c r="E32" s="29"/>
      <c r="F32" s="29"/>
      <c r="G32" s="29" t="str">
        <f aca="false">IFERROR(IF(F32="","",VLOOKUP(F32,PORTFOLIO!$A:$C,3,0)),"Loan ID not found")</f>
        <v/>
      </c>
      <c r="H32" s="29"/>
      <c r="I32" s="30"/>
      <c r="J32" s="29"/>
    </row>
    <row r="33" customFormat="false" ht="15" hidden="false" customHeight="false" outlineLevel="0" collapsed="false">
      <c r="A33" s="29"/>
      <c r="B33" s="29"/>
      <c r="C33" s="29"/>
      <c r="D33" s="29"/>
      <c r="E33" s="29"/>
      <c r="F33" s="29"/>
      <c r="G33" s="29" t="str">
        <f aca="false">IFERROR(IF(F33="","",VLOOKUP(F33,PORTFOLIO!$A:$C,3,0)),"Loan ID not found")</f>
        <v/>
      </c>
      <c r="H33" s="29"/>
      <c r="I33" s="30"/>
      <c r="J33" s="29"/>
    </row>
    <row r="34" customFormat="false" ht="15" hidden="false" customHeight="false" outlineLevel="0" collapsed="false">
      <c r="A34" s="29"/>
      <c r="B34" s="29"/>
      <c r="C34" s="29"/>
      <c r="D34" s="29"/>
      <c r="E34" s="29"/>
      <c r="F34" s="29"/>
      <c r="G34" s="29" t="str">
        <f aca="false">IFERROR(IF(F34="","",VLOOKUP(F34,PORTFOLIO!$A:$C,3,0)),"Loan ID not found")</f>
        <v/>
      </c>
      <c r="H34" s="29"/>
      <c r="I34" s="30"/>
      <c r="J34" s="29"/>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18"/>
    <col collapsed="false" customWidth="true" hidden="false" outlineLevel="0" max="4" min="4" style="0" width="20"/>
    <col collapsed="false" customWidth="true" hidden="false" outlineLevel="0" max="5" min="5" style="0" width="26"/>
    <col collapsed="false" customWidth="true" hidden="false" outlineLevel="0" max="6" min="6" style="0" width="16"/>
    <col collapsed="false" customWidth="true" hidden="false" outlineLevel="0" max="7" min="7" style="0" width="13"/>
    <col collapsed="false" customWidth="true" hidden="false" outlineLevel="0" max="8" min="8" style="0" width="16"/>
    <col collapsed="false" customWidth="true" hidden="false" outlineLevel="0" max="9" min="9" style="0" width="18"/>
    <col collapsed="false" customWidth="true" hidden="false" outlineLevel="0" max="10" min="10" style="0" width="12"/>
    <col collapsed="false" customWidth="true" hidden="false" outlineLevel="0" max="11" min="11" style="0" width="26"/>
  </cols>
  <sheetData>
    <row r="1" customFormat="false" ht="16.15" hidden="false" customHeight="false" outlineLevel="0" collapsed="false">
      <c r="A1" s="9" t="s">
        <v>213</v>
      </c>
      <c r="B1" s="9"/>
      <c r="C1" s="9"/>
      <c r="D1" s="9"/>
      <c r="E1" s="9"/>
      <c r="F1" s="9"/>
      <c r="G1" s="9"/>
      <c r="H1" s="9"/>
      <c r="I1" s="9"/>
      <c r="J1" s="9"/>
      <c r="K1" s="9"/>
    </row>
    <row r="2" customFormat="false" ht="15" hidden="false" customHeight="false" outlineLevel="0" collapsed="false">
      <c r="A2" s="10" t="s">
        <v>214</v>
      </c>
      <c r="B2" s="10"/>
      <c r="C2" s="10"/>
      <c r="D2" s="10"/>
      <c r="E2" s="10"/>
      <c r="F2" s="10"/>
      <c r="G2" s="10"/>
      <c r="H2" s="10"/>
      <c r="I2" s="10"/>
      <c r="J2" s="10"/>
      <c r="K2" s="10"/>
    </row>
    <row r="4" customFormat="false" ht="22.35" hidden="false" customHeight="false" outlineLevel="0" collapsed="false">
      <c r="A4" s="25" t="s">
        <v>215</v>
      </c>
      <c r="B4" s="25" t="s">
        <v>204</v>
      </c>
      <c r="C4" s="25" t="s">
        <v>216</v>
      </c>
      <c r="D4" s="25" t="s">
        <v>99</v>
      </c>
      <c r="E4" s="25" t="s">
        <v>217</v>
      </c>
      <c r="F4" s="25" t="s">
        <v>218</v>
      </c>
      <c r="G4" s="25" t="s">
        <v>219</v>
      </c>
      <c r="H4" s="25" t="s">
        <v>220</v>
      </c>
      <c r="I4" s="25" t="s">
        <v>221</v>
      </c>
      <c r="J4" s="25" t="s">
        <v>159</v>
      </c>
      <c r="K4" s="25" t="s">
        <v>160</v>
      </c>
    </row>
    <row r="5" customFormat="false" ht="22.35" hidden="false" customHeight="false" outlineLevel="0" collapsed="false">
      <c r="A5" s="26" t="s">
        <v>161</v>
      </c>
      <c r="B5" s="27" t="s">
        <v>211</v>
      </c>
      <c r="C5" s="27" t="str">
        <f aca="false">IFERROR(IF(B5="","",VLOOKUP(B5,PORTFOLIO!$A:$C,3,0)),"Loan ID not found")</f>
        <v>Example Borrower</v>
      </c>
      <c r="D5" s="27" t="s">
        <v>128</v>
      </c>
      <c r="E5" s="27" t="s">
        <v>222</v>
      </c>
      <c r="F5" s="28" t="n">
        <v>3000000</v>
      </c>
      <c r="G5" s="31" t="n">
        <v>46037</v>
      </c>
      <c r="H5" s="27" t="s">
        <v>223</v>
      </c>
      <c r="I5" s="27" t="s">
        <v>224</v>
      </c>
      <c r="J5" s="27" t="s">
        <v>111</v>
      </c>
      <c r="K5" s="27" t="s">
        <v>198</v>
      </c>
    </row>
    <row r="6" customFormat="false" ht="15" hidden="false" customHeight="false" outlineLevel="0" collapsed="false">
      <c r="A6" s="29"/>
      <c r="B6" s="29"/>
      <c r="C6" s="29" t="str">
        <f aca="false">IFERROR(IF(B6="","",VLOOKUP(B6,PORTFOLIO!$A:$C,3,0)),"Loan ID not found")</f>
        <v/>
      </c>
      <c r="D6" s="29"/>
      <c r="E6" s="29"/>
      <c r="F6" s="30"/>
      <c r="G6" s="33"/>
      <c r="H6" s="29"/>
      <c r="I6" s="29"/>
      <c r="J6" s="29"/>
      <c r="K6" s="29"/>
    </row>
    <row r="7" customFormat="false" ht="15" hidden="false" customHeight="false" outlineLevel="0" collapsed="false">
      <c r="A7" s="29"/>
      <c r="B7" s="29"/>
      <c r="C7" s="29" t="str">
        <f aca="false">IFERROR(IF(B7="","",VLOOKUP(B7,PORTFOLIO!$A:$C,3,0)),"Loan ID not found")</f>
        <v/>
      </c>
      <c r="D7" s="29"/>
      <c r="E7" s="29"/>
      <c r="F7" s="30"/>
      <c r="G7" s="33"/>
      <c r="H7" s="29"/>
      <c r="I7" s="29"/>
      <c r="J7" s="29"/>
      <c r="K7" s="29"/>
    </row>
    <row r="8" customFormat="false" ht="15" hidden="false" customHeight="false" outlineLevel="0" collapsed="false">
      <c r="A8" s="29"/>
      <c r="B8" s="29"/>
      <c r="C8" s="29" t="str">
        <f aca="false">IFERROR(IF(B8="","",VLOOKUP(B8,PORTFOLIO!$A:$C,3,0)),"Loan ID not found")</f>
        <v/>
      </c>
      <c r="D8" s="29"/>
      <c r="E8" s="29"/>
      <c r="F8" s="30"/>
      <c r="G8" s="33"/>
      <c r="H8" s="29"/>
      <c r="I8" s="29"/>
      <c r="J8" s="29"/>
      <c r="K8" s="29"/>
    </row>
    <row r="9" customFormat="false" ht="15" hidden="false" customHeight="false" outlineLevel="0" collapsed="false">
      <c r="A9" s="29"/>
      <c r="B9" s="29"/>
      <c r="C9" s="29" t="str">
        <f aca="false">IFERROR(IF(B9="","",VLOOKUP(B9,PORTFOLIO!$A:$C,3,0)),"Loan ID not found")</f>
        <v/>
      </c>
      <c r="D9" s="29"/>
      <c r="E9" s="29"/>
      <c r="F9" s="30"/>
      <c r="G9" s="33"/>
      <c r="H9" s="29"/>
      <c r="I9" s="29"/>
      <c r="J9" s="29"/>
      <c r="K9" s="29"/>
    </row>
    <row r="10" customFormat="false" ht="15" hidden="false" customHeight="false" outlineLevel="0" collapsed="false">
      <c r="A10" s="29"/>
      <c r="B10" s="29"/>
      <c r="C10" s="29" t="str">
        <f aca="false">IFERROR(IF(B10="","",VLOOKUP(B10,PORTFOLIO!$A:$C,3,0)),"Loan ID not found")</f>
        <v/>
      </c>
      <c r="D10" s="29"/>
      <c r="E10" s="29"/>
      <c r="F10" s="30"/>
      <c r="G10" s="33"/>
      <c r="H10" s="29"/>
      <c r="I10" s="29"/>
      <c r="J10" s="29"/>
      <c r="K10" s="29"/>
    </row>
    <row r="11" customFormat="false" ht="15" hidden="false" customHeight="false" outlineLevel="0" collapsed="false">
      <c r="A11" s="29"/>
      <c r="B11" s="29"/>
      <c r="C11" s="29" t="str">
        <f aca="false">IFERROR(IF(B11="","",VLOOKUP(B11,PORTFOLIO!$A:$C,3,0)),"Loan ID not found")</f>
        <v/>
      </c>
      <c r="D11" s="29"/>
      <c r="E11" s="29"/>
      <c r="F11" s="30"/>
      <c r="G11" s="33"/>
      <c r="H11" s="29"/>
      <c r="I11" s="29"/>
      <c r="J11" s="29"/>
      <c r="K11" s="29"/>
    </row>
    <row r="12" customFormat="false" ht="15" hidden="false" customHeight="false" outlineLevel="0" collapsed="false">
      <c r="A12" s="29"/>
      <c r="B12" s="29"/>
      <c r="C12" s="29" t="str">
        <f aca="false">IFERROR(IF(B12="","",VLOOKUP(B12,PORTFOLIO!$A:$C,3,0)),"Loan ID not found")</f>
        <v/>
      </c>
      <c r="D12" s="29"/>
      <c r="E12" s="29"/>
      <c r="F12" s="30"/>
      <c r="G12" s="33"/>
      <c r="H12" s="29"/>
      <c r="I12" s="29"/>
      <c r="J12" s="29"/>
      <c r="K12" s="29"/>
    </row>
    <row r="13" customFormat="false" ht="15" hidden="false" customHeight="false" outlineLevel="0" collapsed="false">
      <c r="A13" s="29"/>
      <c r="B13" s="29"/>
      <c r="C13" s="29" t="str">
        <f aca="false">IFERROR(IF(B13="","",VLOOKUP(B13,PORTFOLIO!$A:$C,3,0)),"Loan ID not found")</f>
        <v/>
      </c>
      <c r="D13" s="29"/>
      <c r="E13" s="29"/>
      <c r="F13" s="30"/>
      <c r="G13" s="33"/>
      <c r="H13" s="29"/>
      <c r="I13" s="29"/>
      <c r="J13" s="29"/>
      <c r="K13" s="29"/>
    </row>
    <row r="14" customFormat="false" ht="15" hidden="false" customHeight="false" outlineLevel="0" collapsed="false">
      <c r="A14" s="29"/>
      <c r="B14" s="29"/>
      <c r="C14" s="29" t="str">
        <f aca="false">IFERROR(IF(B14="","",VLOOKUP(B14,PORTFOLIO!$A:$C,3,0)),"Loan ID not found")</f>
        <v/>
      </c>
      <c r="D14" s="29"/>
      <c r="E14" s="29"/>
      <c r="F14" s="30"/>
      <c r="G14" s="33"/>
      <c r="H14" s="29"/>
      <c r="I14" s="29"/>
      <c r="J14" s="29"/>
      <c r="K14" s="29"/>
    </row>
    <row r="15" customFormat="false" ht="15" hidden="false" customHeight="false" outlineLevel="0" collapsed="false">
      <c r="A15" s="29"/>
      <c r="B15" s="29"/>
      <c r="C15" s="29" t="str">
        <f aca="false">IFERROR(IF(B15="","",VLOOKUP(B15,PORTFOLIO!$A:$C,3,0)),"Loan ID not found")</f>
        <v/>
      </c>
      <c r="D15" s="29"/>
      <c r="E15" s="29"/>
      <c r="F15" s="30"/>
      <c r="G15" s="33"/>
      <c r="H15" s="29"/>
      <c r="I15" s="29"/>
      <c r="J15" s="29"/>
      <c r="K15" s="29"/>
    </row>
    <row r="16" customFormat="false" ht="15" hidden="false" customHeight="false" outlineLevel="0" collapsed="false">
      <c r="A16" s="29"/>
      <c r="B16" s="29"/>
      <c r="C16" s="29" t="str">
        <f aca="false">IFERROR(IF(B16="","",VLOOKUP(B16,PORTFOLIO!$A:$C,3,0)),"Loan ID not found")</f>
        <v/>
      </c>
      <c r="D16" s="29"/>
      <c r="E16" s="29"/>
      <c r="F16" s="30"/>
      <c r="G16" s="33"/>
      <c r="H16" s="29"/>
      <c r="I16" s="29"/>
      <c r="J16" s="29"/>
      <c r="K16" s="29"/>
    </row>
    <row r="17" customFormat="false" ht="15" hidden="false" customHeight="false" outlineLevel="0" collapsed="false">
      <c r="A17" s="29"/>
      <c r="B17" s="29"/>
      <c r="C17" s="29" t="str">
        <f aca="false">IFERROR(IF(B17="","",VLOOKUP(B17,PORTFOLIO!$A:$C,3,0)),"Loan ID not found")</f>
        <v/>
      </c>
      <c r="D17" s="29"/>
      <c r="E17" s="29"/>
      <c r="F17" s="30"/>
      <c r="G17" s="33"/>
      <c r="H17" s="29"/>
      <c r="I17" s="29"/>
      <c r="J17" s="29"/>
      <c r="K17" s="29"/>
    </row>
    <row r="18" customFormat="false" ht="15" hidden="false" customHeight="false" outlineLevel="0" collapsed="false">
      <c r="A18" s="29"/>
      <c r="B18" s="29"/>
      <c r="C18" s="29" t="str">
        <f aca="false">IFERROR(IF(B18="","",VLOOKUP(B18,PORTFOLIO!$A:$C,3,0)),"Loan ID not found")</f>
        <v/>
      </c>
      <c r="D18" s="29"/>
      <c r="E18" s="29"/>
      <c r="F18" s="30"/>
      <c r="G18" s="33"/>
      <c r="H18" s="29"/>
      <c r="I18" s="29"/>
      <c r="J18" s="29"/>
      <c r="K18" s="29"/>
    </row>
    <row r="19" customFormat="false" ht="15" hidden="false" customHeight="false" outlineLevel="0" collapsed="false">
      <c r="A19" s="29"/>
      <c r="B19" s="29"/>
      <c r="C19" s="29" t="str">
        <f aca="false">IFERROR(IF(B19="","",VLOOKUP(B19,PORTFOLIO!$A:$C,3,0)),"Loan ID not found")</f>
        <v/>
      </c>
      <c r="D19" s="29"/>
      <c r="E19" s="29"/>
      <c r="F19" s="30"/>
      <c r="G19" s="33"/>
      <c r="H19" s="29"/>
      <c r="I19" s="29"/>
      <c r="J19" s="29"/>
      <c r="K19" s="29"/>
    </row>
    <row r="20" customFormat="false" ht="15" hidden="false" customHeight="false" outlineLevel="0" collapsed="false">
      <c r="A20" s="29"/>
      <c r="B20" s="29"/>
      <c r="C20" s="29" t="str">
        <f aca="false">IFERROR(IF(B20="","",VLOOKUP(B20,PORTFOLIO!$A:$C,3,0)),"Loan ID not found")</f>
        <v/>
      </c>
      <c r="D20" s="29"/>
      <c r="E20" s="29"/>
      <c r="F20" s="30"/>
      <c r="G20" s="33"/>
      <c r="H20" s="29"/>
      <c r="I20" s="29"/>
      <c r="J20" s="29"/>
      <c r="K20" s="29"/>
    </row>
    <row r="21" customFormat="false" ht="15" hidden="false" customHeight="false" outlineLevel="0" collapsed="false">
      <c r="A21" s="29"/>
      <c r="B21" s="29"/>
      <c r="C21" s="29" t="str">
        <f aca="false">IFERROR(IF(B21="","",VLOOKUP(B21,PORTFOLIO!$A:$C,3,0)),"Loan ID not found")</f>
        <v/>
      </c>
      <c r="D21" s="29"/>
      <c r="E21" s="29"/>
      <c r="F21" s="30"/>
      <c r="G21" s="33"/>
      <c r="H21" s="29"/>
      <c r="I21" s="29"/>
      <c r="J21" s="29"/>
      <c r="K21" s="29"/>
    </row>
    <row r="22" customFormat="false" ht="15" hidden="false" customHeight="false" outlineLevel="0" collapsed="false">
      <c r="A22" s="29"/>
      <c r="B22" s="29"/>
      <c r="C22" s="29" t="str">
        <f aca="false">IFERROR(IF(B22="","",VLOOKUP(B22,PORTFOLIO!$A:$C,3,0)),"Loan ID not found")</f>
        <v/>
      </c>
      <c r="D22" s="29"/>
      <c r="E22" s="29"/>
      <c r="F22" s="30"/>
      <c r="G22" s="33"/>
      <c r="H22" s="29"/>
      <c r="I22" s="29"/>
      <c r="J22" s="29"/>
      <c r="K22" s="29"/>
    </row>
    <row r="23" customFormat="false" ht="15" hidden="false" customHeight="false" outlineLevel="0" collapsed="false">
      <c r="A23" s="29"/>
      <c r="B23" s="29"/>
      <c r="C23" s="29" t="str">
        <f aca="false">IFERROR(IF(B23="","",VLOOKUP(B23,PORTFOLIO!$A:$C,3,0)),"Loan ID not found")</f>
        <v/>
      </c>
      <c r="D23" s="29"/>
      <c r="E23" s="29"/>
      <c r="F23" s="30"/>
      <c r="G23" s="33"/>
      <c r="H23" s="29"/>
      <c r="I23" s="29"/>
      <c r="J23" s="29"/>
      <c r="K23" s="29"/>
    </row>
    <row r="24" customFormat="false" ht="15" hidden="false" customHeight="false" outlineLevel="0" collapsed="false">
      <c r="A24" s="29"/>
      <c r="B24" s="29"/>
      <c r="C24" s="29" t="str">
        <f aca="false">IFERROR(IF(B24="","",VLOOKUP(B24,PORTFOLIO!$A:$C,3,0)),"Loan ID not found")</f>
        <v/>
      </c>
      <c r="D24" s="29"/>
      <c r="E24" s="29"/>
      <c r="F24" s="30"/>
      <c r="G24" s="33"/>
      <c r="H24" s="29"/>
      <c r="I24" s="29"/>
      <c r="J24" s="29"/>
      <c r="K24" s="29"/>
    </row>
    <row r="25" customFormat="false" ht="15" hidden="false" customHeight="false" outlineLevel="0" collapsed="false">
      <c r="A25" s="29"/>
      <c r="B25" s="29"/>
      <c r="C25" s="29" t="str">
        <f aca="false">IFERROR(IF(B25="","",VLOOKUP(B25,PORTFOLIO!$A:$C,3,0)),"Loan ID not found")</f>
        <v/>
      </c>
      <c r="D25" s="29"/>
      <c r="E25" s="29"/>
      <c r="F25" s="30"/>
      <c r="G25" s="33"/>
      <c r="H25" s="29"/>
      <c r="I25" s="29"/>
      <c r="J25" s="29"/>
      <c r="K25" s="29"/>
    </row>
    <row r="26" customFormat="false" ht="15" hidden="false" customHeight="false" outlineLevel="0" collapsed="false">
      <c r="A26" s="29"/>
      <c r="B26" s="29"/>
      <c r="C26" s="29" t="str">
        <f aca="false">IFERROR(IF(B26="","",VLOOKUP(B26,PORTFOLIO!$A:$C,3,0)),"Loan ID not found")</f>
        <v/>
      </c>
      <c r="D26" s="29"/>
      <c r="E26" s="29"/>
      <c r="F26" s="30"/>
      <c r="G26" s="33"/>
      <c r="H26" s="29"/>
      <c r="I26" s="29"/>
      <c r="J26" s="29"/>
      <c r="K26" s="29"/>
    </row>
    <row r="27" customFormat="false" ht="15" hidden="false" customHeight="false" outlineLevel="0" collapsed="false">
      <c r="A27" s="29"/>
      <c r="B27" s="29"/>
      <c r="C27" s="29" t="str">
        <f aca="false">IFERROR(IF(B27="","",VLOOKUP(B27,PORTFOLIO!$A:$C,3,0)),"Loan ID not found")</f>
        <v/>
      </c>
      <c r="D27" s="29"/>
      <c r="E27" s="29"/>
      <c r="F27" s="30"/>
      <c r="G27" s="33"/>
      <c r="H27" s="29"/>
      <c r="I27" s="29"/>
      <c r="J27" s="29"/>
      <c r="K27" s="29"/>
    </row>
    <row r="28" customFormat="false" ht="15" hidden="false" customHeight="false" outlineLevel="0" collapsed="false">
      <c r="A28" s="29"/>
      <c r="B28" s="29"/>
      <c r="C28" s="29" t="str">
        <f aca="false">IFERROR(IF(B28="","",VLOOKUP(B28,PORTFOLIO!$A:$C,3,0)),"Loan ID not found")</f>
        <v/>
      </c>
      <c r="D28" s="29"/>
      <c r="E28" s="29"/>
      <c r="F28" s="30"/>
      <c r="G28" s="33"/>
      <c r="H28" s="29"/>
      <c r="I28" s="29"/>
      <c r="J28" s="29"/>
      <c r="K28" s="29"/>
    </row>
    <row r="29" customFormat="false" ht="15" hidden="false" customHeight="false" outlineLevel="0" collapsed="false">
      <c r="A29" s="29"/>
      <c r="B29" s="29"/>
      <c r="C29" s="29" t="str">
        <f aca="false">IFERROR(IF(B29="","",VLOOKUP(B29,PORTFOLIO!$A:$C,3,0)),"Loan ID not found")</f>
        <v/>
      </c>
      <c r="D29" s="29"/>
      <c r="E29" s="29"/>
      <c r="F29" s="30"/>
      <c r="G29" s="33"/>
      <c r="H29" s="29"/>
      <c r="I29" s="29"/>
      <c r="J29" s="29"/>
      <c r="K29" s="29"/>
    </row>
    <row r="30" customFormat="false" ht="15" hidden="false" customHeight="false" outlineLevel="0" collapsed="false">
      <c r="A30" s="29"/>
      <c r="B30" s="29"/>
      <c r="C30" s="29" t="str">
        <f aca="false">IFERROR(IF(B30="","",VLOOKUP(B30,PORTFOLIO!$A:$C,3,0)),"Loan ID not found")</f>
        <v/>
      </c>
      <c r="D30" s="29"/>
      <c r="E30" s="29"/>
      <c r="F30" s="30"/>
      <c r="G30" s="33"/>
      <c r="H30" s="29"/>
      <c r="I30" s="29"/>
      <c r="J30" s="29"/>
      <c r="K30" s="29"/>
    </row>
    <row r="31" customFormat="false" ht="15" hidden="false" customHeight="false" outlineLevel="0" collapsed="false">
      <c r="A31" s="29"/>
      <c r="B31" s="29"/>
      <c r="C31" s="29" t="str">
        <f aca="false">IFERROR(IF(B31="","",VLOOKUP(B31,PORTFOLIO!$A:$C,3,0)),"Loan ID not found")</f>
        <v/>
      </c>
      <c r="D31" s="29"/>
      <c r="E31" s="29"/>
      <c r="F31" s="30"/>
      <c r="G31" s="33"/>
      <c r="H31" s="29"/>
      <c r="I31" s="29"/>
      <c r="J31" s="29"/>
      <c r="K31" s="29"/>
    </row>
    <row r="32" customFormat="false" ht="15" hidden="false" customHeight="false" outlineLevel="0" collapsed="false">
      <c r="A32" s="29"/>
      <c r="B32" s="29"/>
      <c r="C32" s="29" t="str">
        <f aca="false">IFERROR(IF(B32="","",VLOOKUP(B32,PORTFOLIO!$A:$C,3,0)),"Loan ID not found")</f>
        <v/>
      </c>
      <c r="D32" s="29"/>
      <c r="E32" s="29"/>
      <c r="F32" s="30"/>
      <c r="G32" s="33"/>
      <c r="H32" s="29"/>
      <c r="I32" s="29"/>
      <c r="J32" s="29"/>
      <c r="K32" s="29"/>
    </row>
    <row r="33" customFormat="false" ht="15" hidden="false" customHeight="false" outlineLevel="0" collapsed="false">
      <c r="A33" s="29"/>
      <c r="B33" s="29"/>
      <c r="C33" s="29" t="str">
        <f aca="false">IFERROR(IF(B33="","",VLOOKUP(B33,PORTFOLIO!$A:$C,3,0)),"Loan ID not found")</f>
        <v/>
      </c>
      <c r="D33" s="29"/>
      <c r="E33" s="29"/>
      <c r="F33" s="30"/>
      <c r="G33" s="33"/>
      <c r="H33" s="29"/>
      <c r="I33" s="29"/>
      <c r="J33" s="29"/>
      <c r="K33" s="29"/>
    </row>
    <row r="34" customFormat="false" ht="15" hidden="false" customHeight="false" outlineLevel="0" collapsed="false">
      <c r="A34" s="29"/>
      <c r="B34" s="29"/>
      <c r="C34" s="29" t="str">
        <f aca="false">IFERROR(IF(B34="","",VLOOKUP(B34,PORTFOLIO!$A:$C,3,0)),"Loan ID not found")</f>
        <v/>
      </c>
      <c r="D34" s="29"/>
      <c r="E34" s="29"/>
      <c r="F34" s="30"/>
      <c r="G34" s="33"/>
      <c r="H34" s="29"/>
      <c r="I34" s="29"/>
      <c r="J34" s="29"/>
      <c r="K34" s="29"/>
    </row>
  </sheetData>
  <mergeCells count="2">
    <mergeCell ref="A1:K1"/>
    <mergeCell ref="A2:K2"/>
  </mergeCells>
  <dataValidations count="2">
    <dataValidation allowBlank="true" error="Pick one of the listed options, or add a new option on the Lists sheet." errorStyle="stop" errorTitle="Choose from the list" operator="between" showDropDown="false" showErrorMessage="true" showInputMessage="false" sqref="D5:D34" type="list">
      <formula1>Lists!$G$2:$G$9</formula1>
      <formula2>0</formula2>
    </dataValidation>
    <dataValidation allowBlank="true" error="Pick one of the listed options, or add a new option on the Lists sheet." errorStyle="stop" errorTitle="Choose from the list" operator="between" showDropDown="false" showErrorMessage="true" showInputMessage="false" sqref="J5:J34" type="list">
      <formula1>Lists!$H$2:$H$5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4" min="3" style="0" width="18"/>
    <col collapsed="false" customWidth="true" hidden="false" outlineLevel="0" max="5" min="5" style="0" width="22"/>
    <col collapsed="false" customWidth="true" hidden="false" outlineLevel="0" max="6" min="6" style="0" width="16"/>
    <col collapsed="false" customWidth="true" hidden="false" outlineLevel="0" max="7" min="7" style="0" width="14"/>
    <col collapsed="false" customWidth="true" hidden="false" outlineLevel="0" max="8" min="8" style="0" width="22"/>
    <col collapsed="false" customWidth="true" hidden="false" outlineLevel="0" max="9" min="9" style="0" width="16"/>
    <col collapsed="false" customWidth="true" hidden="false" outlineLevel="0" max="10" min="10" style="0" width="13"/>
    <col collapsed="false" customWidth="true" hidden="false" outlineLevel="0" max="11" min="11" style="0" width="15"/>
    <col collapsed="false" customWidth="true" hidden="false" outlineLevel="0" max="12" min="12" style="0" width="13"/>
    <col collapsed="false" customWidth="true" hidden="false" outlineLevel="0" max="13" min="13" style="0" width="16"/>
    <col collapsed="false" customWidth="true" hidden="false" outlineLevel="0" max="14" min="14" style="0" width="13"/>
    <col collapsed="false" customWidth="true" hidden="false" outlineLevel="0" max="15" min="15" style="0" width="20"/>
    <col collapsed="false" customWidth="true" hidden="false" outlineLevel="0" max="16" min="16" style="0" width="12"/>
    <col collapsed="false" customWidth="true" hidden="false" outlineLevel="0" max="17" min="17" style="0" width="22"/>
  </cols>
  <sheetData>
    <row r="1" customFormat="false" ht="16.15" hidden="false" customHeight="false" outlineLevel="0" collapsed="false">
      <c r="A1" s="9" t="s">
        <v>225</v>
      </c>
      <c r="B1" s="9"/>
      <c r="C1" s="9"/>
      <c r="D1" s="9"/>
      <c r="E1" s="9"/>
      <c r="F1" s="9"/>
      <c r="G1" s="9"/>
      <c r="H1" s="9"/>
      <c r="I1" s="9"/>
      <c r="J1" s="9"/>
      <c r="K1" s="9"/>
      <c r="L1" s="9"/>
      <c r="M1" s="9"/>
      <c r="N1" s="9"/>
      <c r="O1" s="9"/>
      <c r="P1" s="9"/>
      <c r="Q1" s="9"/>
    </row>
    <row r="2" customFormat="false" ht="15" hidden="false" customHeight="false" outlineLevel="0" collapsed="false">
      <c r="A2" s="10" t="s">
        <v>226</v>
      </c>
      <c r="B2" s="10"/>
      <c r="C2" s="10"/>
      <c r="D2" s="10"/>
      <c r="E2" s="10"/>
      <c r="F2" s="10"/>
      <c r="G2" s="10"/>
      <c r="H2" s="10"/>
      <c r="I2" s="10"/>
      <c r="J2" s="10"/>
      <c r="K2" s="10"/>
      <c r="L2" s="10"/>
      <c r="M2" s="10"/>
      <c r="N2" s="10"/>
      <c r="O2" s="10"/>
      <c r="P2" s="10"/>
      <c r="Q2" s="10"/>
    </row>
    <row r="3" customFormat="false" ht="25.5" hidden="false" customHeight="true" outlineLevel="0" collapsed="false">
      <c r="A3" s="17" t="s">
        <v>227</v>
      </c>
      <c r="B3" s="17"/>
      <c r="C3" s="17"/>
      <c r="D3" s="17"/>
      <c r="E3" s="17"/>
      <c r="F3" s="17"/>
      <c r="G3" s="17"/>
      <c r="H3" s="17"/>
      <c r="I3" s="17"/>
      <c r="J3" s="17"/>
      <c r="K3" s="17"/>
      <c r="L3" s="17"/>
      <c r="M3" s="17"/>
      <c r="N3" s="17"/>
      <c r="O3" s="17"/>
      <c r="P3" s="17"/>
      <c r="Q3" s="17"/>
    </row>
    <row r="5" customFormat="false" ht="22.35" hidden="false" customHeight="false" outlineLevel="0" collapsed="false">
      <c r="A5" s="25" t="s">
        <v>228</v>
      </c>
      <c r="B5" s="25" t="s">
        <v>229</v>
      </c>
      <c r="C5" s="25" t="s">
        <v>216</v>
      </c>
      <c r="D5" s="25" t="s">
        <v>93</v>
      </c>
      <c r="E5" s="25" t="s">
        <v>230</v>
      </c>
      <c r="F5" s="25" t="s">
        <v>231</v>
      </c>
      <c r="G5" s="25" t="s">
        <v>232</v>
      </c>
      <c r="H5" s="25" t="s">
        <v>24</v>
      </c>
      <c r="I5" s="25" t="s">
        <v>223</v>
      </c>
      <c r="J5" s="25" t="s">
        <v>159</v>
      </c>
      <c r="K5" s="25" t="s">
        <v>233</v>
      </c>
      <c r="L5" s="25" t="s">
        <v>234</v>
      </c>
      <c r="M5" s="25" t="s">
        <v>16</v>
      </c>
      <c r="N5" s="25" t="s">
        <v>235</v>
      </c>
      <c r="O5" s="25" t="s">
        <v>236</v>
      </c>
      <c r="P5" s="25" t="s">
        <v>237</v>
      </c>
      <c r="Q5" s="25" t="s">
        <v>160</v>
      </c>
    </row>
    <row r="6" customFormat="false" ht="22.35" hidden="false" customHeight="false" outlineLevel="0" collapsed="false">
      <c r="A6" s="26" t="s">
        <v>161</v>
      </c>
      <c r="B6" s="31" t="n">
        <v>46027</v>
      </c>
      <c r="C6" s="27" t="s">
        <v>189</v>
      </c>
      <c r="D6" s="27" t="s">
        <v>82</v>
      </c>
      <c r="E6" s="27" t="s">
        <v>162</v>
      </c>
      <c r="F6" s="28" t="n">
        <v>5000000</v>
      </c>
      <c r="G6" s="27" t="n">
        <v>12</v>
      </c>
      <c r="H6" s="27" t="s">
        <v>238</v>
      </c>
      <c r="I6" s="27" t="s">
        <v>239</v>
      </c>
      <c r="J6" s="27" t="s">
        <v>139</v>
      </c>
      <c r="K6" s="28" t="n">
        <v>5000000</v>
      </c>
      <c r="L6" s="27" t="n">
        <v>12</v>
      </c>
      <c r="M6" s="27" t="s">
        <v>20</v>
      </c>
      <c r="N6" s="31" t="n">
        <v>46032</v>
      </c>
      <c r="O6" s="27"/>
      <c r="P6" s="27" t="s">
        <v>211</v>
      </c>
      <c r="Q6" s="27" t="s">
        <v>198</v>
      </c>
    </row>
    <row r="7" customFormat="false" ht="15" hidden="false" customHeight="false" outlineLevel="0" collapsed="false">
      <c r="A7" s="29"/>
      <c r="B7" s="33"/>
      <c r="C7" s="29"/>
      <c r="D7" s="29"/>
      <c r="E7" s="29"/>
      <c r="F7" s="30"/>
      <c r="G7" s="29"/>
      <c r="H7" s="29"/>
      <c r="I7" s="29"/>
      <c r="J7" s="29"/>
      <c r="K7" s="30"/>
      <c r="L7" s="29"/>
      <c r="M7" s="29"/>
      <c r="N7" s="33"/>
      <c r="O7" s="29"/>
      <c r="P7" s="29"/>
      <c r="Q7" s="29"/>
    </row>
    <row r="8" customFormat="false" ht="15" hidden="false" customHeight="false" outlineLevel="0" collapsed="false">
      <c r="A8" s="29"/>
      <c r="B8" s="33"/>
      <c r="C8" s="29"/>
      <c r="D8" s="29"/>
      <c r="E8" s="29"/>
      <c r="F8" s="30"/>
      <c r="G8" s="29"/>
      <c r="H8" s="29"/>
      <c r="I8" s="29"/>
      <c r="J8" s="29"/>
      <c r="K8" s="30"/>
      <c r="L8" s="29"/>
      <c r="M8" s="29"/>
      <c r="N8" s="33"/>
      <c r="O8" s="29"/>
      <c r="P8" s="29"/>
      <c r="Q8" s="29"/>
    </row>
    <row r="9" customFormat="false" ht="15" hidden="false" customHeight="false" outlineLevel="0" collapsed="false">
      <c r="A9" s="29"/>
      <c r="B9" s="33"/>
      <c r="C9" s="29"/>
      <c r="D9" s="29"/>
      <c r="E9" s="29"/>
      <c r="F9" s="30"/>
      <c r="G9" s="29"/>
      <c r="H9" s="29"/>
      <c r="I9" s="29"/>
      <c r="J9" s="29"/>
      <c r="K9" s="30"/>
      <c r="L9" s="29"/>
      <c r="M9" s="29"/>
      <c r="N9" s="33"/>
      <c r="O9" s="29"/>
      <c r="P9" s="29"/>
      <c r="Q9" s="29"/>
    </row>
    <row r="10" customFormat="false" ht="15" hidden="false" customHeight="false" outlineLevel="0" collapsed="false">
      <c r="A10" s="29"/>
      <c r="B10" s="33"/>
      <c r="C10" s="29"/>
      <c r="D10" s="29"/>
      <c r="E10" s="29"/>
      <c r="F10" s="30"/>
      <c r="G10" s="29"/>
      <c r="H10" s="29"/>
      <c r="I10" s="29"/>
      <c r="J10" s="29"/>
      <c r="K10" s="30"/>
      <c r="L10" s="29"/>
      <c r="M10" s="29"/>
      <c r="N10" s="33"/>
      <c r="O10" s="29"/>
      <c r="P10" s="29"/>
      <c r="Q10" s="29"/>
    </row>
    <row r="11" customFormat="false" ht="15" hidden="false" customHeight="false" outlineLevel="0" collapsed="false">
      <c r="A11" s="29"/>
      <c r="B11" s="33"/>
      <c r="C11" s="29"/>
      <c r="D11" s="29"/>
      <c r="E11" s="29"/>
      <c r="F11" s="30"/>
      <c r="G11" s="29"/>
      <c r="H11" s="29"/>
      <c r="I11" s="29"/>
      <c r="J11" s="29"/>
      <c r="K11" s="30"/>
      <c r="L11" s="29"/>
      <c r="M11" s="29"/>
      <c r="N11" s="33"/>
      <c r="O11" s="29"/>
      <c r="P11" s="29"/>
      <c r="Q11" s="29"/>
    </row>
    <row r="12" customFormat="false" ht="15" hidden="false" customHeight="false" outlineLevel="0" collapsed="false">
      <c r="A12" s="29"/>
      <c r="B12" s="33"/>
      <c r="C12" s="29"/>
      <c r="D12" s="29"/>
      <c r="E12" s="29"/>
      <c r="F12" s="30"/>
      <c r="G12" s="29"/>
      <c r="H12" s="29"/>
      <c r="I12" s="29"/>
      <c r="J12" s="29"/>
      <c r="K12" s="30"/>
      <c r="L12" s="29"/>
      <c r="M12" s="29"/>
      <c r="N12" s="33"/>
      <c r="O12" s="29"/>
      <c r="P12" s="29"/>
      <c r="Q12" s="29"/>
    </row>
    <row r="13" customFormat="false" ht="15" hidden="false" customHeight="false" outlineLevel="0" collapsed="false">
      <c r="A13" s="29"/>
      <c r="B13" s="33"/>
      <c r="C13" s="29"/>
      <c r="D13" s="29"/>
      <c r="E13" s="29"/>
      <c r="F13" s="30"/>
      <c r="G13" s="29"/>
      <c r="H13" s="29"/>
      <c r="I13" s="29"/>
      <c r="J13" s="29"/>
      <c r="K13" s="30"/>
      <c r="L13" s="29"/>
      <c r="M13" s="29"/>
      <c r="N13" s="33"/>
      <c r="O13" s="29"/>
      <c r="P13" s="29"/>
      <c r="Q13" s="29"/>
    </row>
    <row r="14" customFormat="false" ht="15" hidden="false" customHeight="false" outlineLevel="0" collapsed="false">
      <c r="A14" s="29"/>
      <c r="B14" s="33"/>
      <c r="C14" s="29"/>
      <c r="D14" s="29"/>
      <c r="E14" s="29"/>
      <c r="F14" s="30"/>
      <c r="G14" s="29"/>
      <c r="H14" s="29"/>
      <c r="I14" s="29"/>
      <c r="J14" s="29"/>
      <c r="K14" s="30"/>
      <c r="L14" s="29"/>
      <c r="M14" s="29"/>
      <c r="N14" s="33"/>
      <c r="O14" s="29"/>
      <c r="P14" s="29"/>
      <c r="Q14" s="29"/>
    </row>
    <row r="15" customFormat="false" ht="15" hidden="false" customHeight="false" outlineLevel="0" collapsed="false">
      <c r="A15" s="29"/>
      <c r="B15" s="33"/>
      <c r="C15" s="29"/>
      <c r="D15" s="29"/>
      <c r="E15" s="29"/>
      <c r="F15" s="30"/>
      <c r="G15" s="29"/>
      <c r="H15" s="29"/>
      <c r="I15" s="29"/>
      <c r="J15" s="29"/>
      <c r="K15" s="30"/>
      <c r="L15" s="29"/>
      <c r="M15" s="29"/>
      <c r="N15" s="33"/>
      <c r="O15" s="29"/>
      <c r="P15" s="29"/>
      <c r="Q15" s="29"/>
    </row>
    <row r="16" customFormat="false" ht="15" hidden="false" customHeight="false" outlineLevel="0" collapsed="false">
      <c r="A16" s="29"/>
      <c r="B16" s="33"/>
      <c r="C16" s="29"/>
      <c r="D16" s="29"/>
      <c r="E16" s="29"/>
      <c r="F16" s="30"/>
      <c r="G16" s="29"/>
      <c r="H16" s="29"/>
      <c r="I16" s="29"/>
      <c r="J16" s="29"/>
      <c r="K16" s="30"/>
      <c r="L16" s="29"/>
      <c r="M16" s="29"/>
      <c r="N16" s="33"/>
      <c r="O16" s="29"/>
      <c r="P16" s="29"/>
      <c r="Q16" s="29"/>
    </row>
    <row r="17" customFormat="false" ht="15" hidden="false" customHeight="false" outlineLevel="0" collapsed="false">
      <c r="A17" s="29"/>
      <c r="B17" s="33"/>
      <c r="C17" s="29"/>
      <c r="D17" s="29"/>
      <c r="E17" s="29"/>
      <c r="F17" s="30"/>
      <c r="G17" s="29"/>
      <c r="H17" s="29"/>
      <c r="I17" s="29"/>
      <c r="J17" s="29"/>
      <c r="K17" s="30"/>
      <c r="L17" s="29"/>
      <c r="M17" s="29"/>
      <c r="N17" s="33"/>
      <c r="O17" s="29"/>
      <c r="P17" s="29"/>
      <c r="Q17" s="29"/>
    </row>
    <row r="18" customFormat="false" ht="15" hidden="false" customHeight="false" outlineLevel="0" collapsed="false">
      <c r="A18" s="29"/>
      <c r="B18" s="33"/>
      <c r="C18" s="29"/>
      <c r="D18" s="29"/>
      <c r="E18" s="29"/>
      <c r="F18" s="30"/>
      <c r="G18" s="29"/>
      <c r="H18" s="29"/>
      <c r="I18" s="29"/>
      <c r="J18" s="29"/>
      <c r="K18" s="30"/>
      <c r="L18" s="29"/>
      <c r="M18" s="29"/>
      <c r="N18" s="33"/>
      <c r="O18" s="29"/>
      <c r="P18" s="29"/>
      <c r="Q18" s="29"/>
    </row>
    <row r="19" customFormat="false" ht="15" hidden="false" customHeight="false" outlineLevel="0" collapsed="false">
      <c r="A19" s="29"/>
      <c r="B19" s="33"/>
      <c r="C19" s="29"/>
      <c r="D19" s="29"/>
      <c r="E19" s="29"/>
      <c r="F19" s="30"/>
      <c r="G19" s="29"/>
      <c r="H19" s="29"/>
      <c r="I19" s="29"/>
      <c r="J19" s="29"/>
      <c r="K19" s="30"/>
      <c r="L19" s="29"/>
      <c r="M19" s="29"/>
      <c r="N19" s="33"/>
      <c r="O19" s="29"/>
      <c r="P19" s="29"/>
      <c r="Q19" s="29"/>
    </row>
    <row r="20" customFormat="false" ht="15" hidden="false" customHeight="false" outlineLevel="0" collapsed="false">
      <c r="A20" s="29"/>
      <c r="B20" s="33"/>
      <c r="C20" s="29"/>
      <c r="D20" s="29"/>
      <c r="E20" s="29"/>
      <c r="F20" s="30"/>
      <c r="G20" s="29"/>
      <c r="H20" s="29"/>
      <c r="I20" s="29"/>
      <c r="J20" s="29"/>
      <c r="K20" s="30"/>
      <c r="L20" s="29"/>
      <c r="M20" s="29"/>
      <c r="N20" s="33"/>
      <c r="O20" s="29"/>
      <c r="P20" s="29"/>
      <c r="Q20" s="29"/>
    </row>
    <row r="21" customFormat="false" ht="15" hidden="false" customHeight="false" outlineLevel="0" collapsed="false">
      <c r="A21" s="29"/>
      <c r="B21" s="33"/>
      <c r="C21" s="29"/>
      <c r="D21" s="29"/>
      <c r="E21" s="29"/>
      <c r="F21" s="30"/>
      <c r="G21" s="29"/>
      <c r="H21" s="29"/>
      <c r="I21" s="29"/>
      <c r="J21" s="29"/>
      <c r="K21" s="30"/>
      <c r="L21" s="29"/>
      <c r="M21" s="29"/>
      <c r="N21" s="33"/>
      <c r="O21" s="29"/>
      <c r="P21" s="29"/>
      <c r="Q21" s="29"/>
    </row>
    <row r="22" customFormat="false" ht="15" hidden="false" customHeight="false" outlineLevel="0" collapsed="false">
      <c r="A22" s="29"/>
      <c r="B22" s="33"/>
      <c r="C22" s="29"/>
      <c r="D22" s="29"/>
      <c r="E22" s="29"/>
      <c r="F22" s="30"/>
      <c r="G22" s="29"/>
      <c r="H22" s="29"/>
      <c r="I22" s="29"/>
      <c r="J22" s="29"/>
      <c r="K22" s="30"/>
      <c r="L22" s="29"/>
      <c r="M22" s="29"/>
      <c r="N22" s="33"/>
      <c r="O22" s="29"/>
      <c r="P22" s="29"/>
      <c r="Q22" s="29"/>
    </row>
    <row r="23" customFormat="false" ht="15" hidden="false" customHeight="false" outlineLevel="0" collapsed="false">
      <c r="A23" s="29"/>
      <c r="B23" s="33"/>
      <c r="C23" s="29"/>
      <c r="D23" s="29"/>
      <c r="E23" s="29"/>
      <c r="F23" s="30"/>
      <c r="G23" s="29"/>
      <c r="H23" s="29"/>
      <c r="I23" s="29"/>
      <c r="J23" s="29"/>
      <c r="K23" s="30"/>
      <c r="L23" s="29"/>
      <c r="M23" s="29"/>
      <c r="N23" s="33"/>
      <c r="O23" s="29"/>
      <c r="P23" s="29"/>
      <c r="Q23" s="29"/>
    </row>
    <row r="24" customFormat="false" ht="15" hidden="false" customHeight="false" outlineLevel="0" collapsed="false">
      <c r="A24" s="29"/>
      <c r="B24" s="33"/>
      <c r="C24" s="29"/>
      <c r="D24" s="29"/>
      <c r="E24" s="29"/>
      <c r="F24" s="30"/>
      <c r="G24" s="29"/>
      <c r="H24" s="29"/>
      <c r="I24" s="29"/>
      <c r="J24" s="29"/>
      <c r="K24" s="30"/>
      <c r="L24" s="29"/>
      <c r="M24" s="29"/>
      <c r="N24" s="33"/>
      <c r="O24" s="29"/>
      <c r="P24" s="29"/>
      <c r="Q24" s="29"/>
    </row>
    <row r="25" customFormat="false" ht="15" hidden="false" customHeight="false" outlineLevel="0" collapsed="false">
      <c r="A25" s="29"/>
      <c r="B25" s="33"/>
      <c r="C25" s="29"/>
      <c r="D25" s="29"/>
      <c r="E25" s="29"/>
      <c r="F25" s="30"/>
      <c r="G25" s="29"/>
      <c r="H25" s="29"/>
      <c r="I25" s="29"/>
      <c r="J25" s="29"/>
      <c r="K25" s="30"/>
      <c r="L25" s="29"/>
      <c r="M25" s="29"/>
      <c r="N25" s="33"/>
      <c r="O25" s="29"/>
      <c r="P25" s="29"/>
      <c r="Q25" s="29"/>
    </row>
    <row r="26" customFormat="false" ht="15" hidden="false" customHeight="false" outlineLevel="0" collapsed="false">
      <c r="A26" s="29"/>
      <c r="B26" s="33"/>
      <c r="C26" s="29"/>
      <c r="D26" s="29"/>
      <c r="E26" s="29"/>
      <c r="F26" s="30"/>
      <c r="G26" s="29"/>
      <c r="H26" s="29"/>
      <c r="I26" s="29"/>
      <c r="J26" s="29"/>
      <c r="K26" s="30"/>
      <c r="L26" s="29"/>
      <c r="M26" s="29"/>
      <c r="N26" s="33"/>
      <c r="O26" s="29"/>
      <c r="P26" s="29"/>
      <c r="Q26" s="29"/>
    </row>
    <row r="27" customFormat="false" ht="15" hidden="false" customHeight="false" outlineLevel="0" collapsed="false">
      <c r="A27" s="29"/>
      <c r="B27" s="33"/>
      <c r="C27" s="29"/>
      <c r="D27" s="29"/>
      <c r="E27" s="29"/>
      <c r="F27" s="30"/>
      <c r="G27" s="29"/>
      <c r="H27" s="29"/>
      <c r="I27" s="29"/>
      <c r="J27" s="29"/>
      <c r="K27" s="30"/>
      <c r="L27" s="29"/>
      <c r="M27" s="29"/>
      <c r="N27" s="33"/>
      <c r="O27" s="29"/>
      <c r="P27" s="29"/>
      <c r="Q27" s="29"/>
    </row>
    <row r="28" customFormat="false" ht="15" hidden="false" customHeight="false" outlineLevel="0" collapsed="false">
      <c r="A28" s="29"/>
      <c r="B28" s="33"/>
      <c r="C28" s="29"/>
      <c r="D28" s="29"/>
      <c r="E28" s="29"/>
      <c r="F28" s="30"/>
      <c r="G28" s="29"/>
      <c r="H28" s="29"/>
      <c r="I28" s="29"/>
      <c r="J28" s="29"/>
      <c r="K28" s="30"/>
      <c r="L28" s="29"/>
      <c r="M28" s="29"/>
      <c r="N28" s="33"/>
      <c r="O28" s="29"/>
      <c r="P28" s="29"/>
      <c r="Q28" s="29"/>
    </row>
    <row r="29" customFormat="false" ht="15" hidden="false" customHeight="false" outlineLevel="0" collapsed="false">
      <c r="A29" s="29"/>
      <c r="B29" s="33"/>
      <c r="C29" s="29"/>
      <c r="D29" s="29"/>
      <c r="E29" s="29"/>
      <c r="F29" s="30"/>
      <c r="G29" s="29"/>
      <c r="H29" s="29"/>
      <c r="I29" s="29"/>
      <c r="J29" s="29"/>
      <c r="K29" s="30"/>
      <c r="L29" s="29"/>
      <c r="M29" s="29"/>
      <c r="N29" s="33"/>
      <c r="O29" s="29"/>
      <c r="P29" s="29"/>
      <c r="Q29" s="29"/>
    </row>
    <row r="30" customFormat="false" ht="15" hidden="false" customHeight="false" outlineLevel="0" collapsed="false">
      <c r="A30" s="29"/>
      <c r="B30" s="33"/>
      <c r="C30" s="29"/>
      <c r="D30" s="29"/>
      <c r="E30" s="29"/>
      <c r="F30" s="30"/>
      <c r="G30" s="29"/>
      <c r="H30" s="29"/>
      <c r="I30" s="29"/>
      <c r="J30" s="29"/>
      <c r="K30" s="30"/>
      <c r="L30" s="29"/>
      <c r="M30" s="29"/>
      <c r="N30" s="33"/>
      <c r="O30" s="29"/>
      <c r="P30" s="29"/>
      <c r="Q30" s="29"/>
    </row>
    <row r="31" customFormat="false" ht="15" hidden="false" customHeight="false" outlineLevel="0" collapsed="false">
      <c r="A31" s="29"/>
      <c r="B31" s="33"/>
      <c r="C31" s="29"/>
      <c r="D31" s="29"/>
      <c r="E31" s="29"/>
      <c r="F31" s="30"/>
      <c r="G31" s="29"/>
      <c r="H31" s="29"/>
      <c r="I31" s="29"/>
      <c r="J31" s="29"/>
      <c r="K31" s="30"/>
      <c r="L31" s="29"/>
      <c r="M31" s="29"/>
      <c r="N31" s="33"/>
      <c r="O31" s="29"/>
      <c r="P31" s="29"/>
      <c r="Q31" s="29"/>
    </row>
    <row r="32" customFormat="false" ht="15" hidden="false" customHeight="false" outlineLevel="0" collapsed="false">
      <c r="A32" s="29"/>
      <c r="B32" s="33"/>
      <c r="C32" s="29"/>
      <c r="D32" s="29"/>
      <c r="E32" s="29"/>
      <c r="F32" s="30"/>
      <c r="G32" s="29"/>
      <c r="H32" s="29"/>
      <c r="I32" s="29"/>
      <c r="J32" s="29"/>
      <c r="K32" s="30"/>
      <c r="L32" s="29"/>
      <c r="M32" s="29"/>
      <c r="N32" s="33"/>
      <c r="O32" s="29"/>
      <c r="P32" s="29"/>
      <c r="Q32" s="29"/>
    </row>
    <row r="33" customFormat="false" ht="15" hidden="false" customHeight="false" outlineLevel="0" collapsed="false">
      <c r="A33" s="29"/>
      <c r="B33" s="33"/>
      <c r="C33" s="29"/>
      <c r="D33" s="29"/>
      <c r="E33" s="29"/>
      <c r="F33" s="30"/>
      <c r="G33" s="29"/>
      <c r="H33" s="29"/>
      <c r="I33" s="29"/>
      <c r="J33" s="29"/>
      <c r="K33" s="30"/>
      <c r="L33" s="29"/>
      <c r="M33" s="29"/>
      <c r="N33" s="33"/>
      <c r="O33" s="29"/>
      <c r="P33" s="29"/>
      <c r="Q33" s="29"/>
    </row>
    <row r="34" customFormat="false" ht="15" hidden="false" customHeight="false" outlineLevel="0" collapsed="false">
      <c r="A34" s="29"/>
      <c r="B34" s="33"/>
      <c r="C34" s="29"/>
      <c r="D34" s="29"/>
      <c r="E34" s="29"/>
      <c r="F34" s="30"/>
      <c r="G34" s="29"/>
      <c r="H34" s="29"/>
      <c r="I34" s="29"/>
      <c r="J34" s="29"/>
      <c r="K34" s="30"/>
      <c r="L34" s="29"/>
      <c r="M34" s="29"/>
      <c r="N34" s="33"/>
      <c r="O34" s="29"/>
      <c r="P34" s="29"/>
      <c r="Q34" s="29"/>
    </row>
    <row r="35" customFormat="false" ht="15" hidden="false" customHeight="false" outlineLevel="0" collapsed="false">
      <c r="A35" s="29"/>
      <c r="B35" s="33"/>
      <c r="C35" s="29"/>
      <c r="D35" s="29"/>
      <c r="E35" s="29"/>
      <c r="F35" s="30"/>
      <c r="G35" s="29"/>
      <c r="H35" s="29"/>
      <c r="I35" s="29"/>
      <c r="J35" s="29"/>
      <c r="K35" s="30"/>
      <c r="L35" s="29"/>
      <c r="M35" s="29"/>
      <c r="N35" s="33"/>
      <c r="O35" s="29"/>
      <c r="P35" s="29"/>
      <c r="Q35" s="29"/>
    </row>
    <row r="36" customFormat="false" ht="15" hidden="false" customHeight="false" outlineLevel="0" collapsed="false">
      <c r="A36" s="29"/>
      <c r="B36" s="33"/>
      <c r="C36" s="29"/>
      <c r="D36" s="29"/>
      <c r="E36" s="29"/>
      <c r="F36" s="30"/>
      <c r="G36" s="29"/>
      <c r="H36" s="29"/>
      <c r="I36" s="29"/>
      <c r="J36" s="29"/>
      <c r="K36" s="30"/>
      <c r="L36" s="29"/>
      <c r="M36" s="29"/>
      <c r="N36" s="33"/>
      <c r="O36" s="29"/>
      <c r="P36" s="29"/>
      <c r="Q36" s="29"/>
    </row>
    <row r="37" customFormat="false" ht="15" hidden="false" customHeight="false" outlineLevel="0" collapsed="false">
      <c r="A37" s="29"/>
      <c r="B37" s="33"/>
      <c r="C37" s="29"/>
      <c r="D37" s="29"/>
      <c r="E37" s="29"/>
      <c r="F37" s="30"/>
      <c r="G37" s="29"/>
      <c r="H37" s="29"/>
      <c r="I37" s="29"/>
      <c r="J37" s="29"/>
      <c r="K37" s="30"/>
      <c r="L37" s="29"/>
      <c r="M37" s="29"/>
      <c r="N37" s="33"/>
      <c r="O37" s="29"/>
      <c r="P37" s="29"/>
      <c r="Q37" s="29"/>
    </row>
    <row r="38" customFormat="false" ht="15" hidden="false" customHeight="false" outlineLevel="0" collapsed="false">
      <c r="A38" s="29"/>
      <c r="B38" s="33"/>
      <c r="C38" s="29"/>
      <c r="D38" s="29"/>
      <c r="E38" s="29"/>
      <c r="F38" s="30"/>
      <c r="G38" s="29"/>
      <c r="H38" s="29"/>
      <c r="I38" s="29"/>
      <c r="J38" s="29"/>
      <c r="K38" s="30"/>
      <c r="L38" s="29"/>
      <c r="M38" s="29"/>
      <c r="N38" s="33"/>
      <c r="O38" s="29"/>
      <c r="P38" s="29"/>
      <c r="Q38" s="29"/>
    </row>
    <row r="39" customFormat="false" ht="15" hidden="false" customHeight="false" outlineLevel="0" collapsed="false">
      <c r="A39" s="29"/>
      <c r="B39" s="33"/>
      <c r="C39" s="29"/>
      <c r="D39" s="29"/>
      <c r="E39" s="29"/>
      <c r="F39" s="30"/>
      <c r="G39" s="29"/>
      <c r="H39" s="29"/>
      <c r="I39" s="29"/>
      <c r="J39" s="29"/>
      <c r="K39" s="30"/>
      <c r="L39" s="29"/>
      <c r="M39" s="29"/>
      <c r="N39" s="33"/>
      <c r="O39" s="29"/>
      <c r="P39" s="29"/>
      <c r="Q39" s="29"/>
    </row>
    <row r="40" customFormat="false" ht="15" hidden="false" customHeight="false" outlineLevel="0" collapsed="false">
      <c r="A40" s="29"/>
      <c r="B40" s="33"/>
      <c r="C40" s="29"/>
      <c r="D40" s="29"/>
      <c r="E40" s="29"/>
      <c r="F40" s="30"/>
      <c r="G40" s="29"/>
      <c r="H40" s="29"/>
      <c r="I40" s="29"/>
      <c r="J40" s="29"/>
      <c r="K40" s="30"/>
      <c r="L40" s="29"/>
      <c r="M40" s="29"/>
      <c r="N40" s="33"/>
      <c r="O40" s="29"/>
      <c r="P40" s="29"/>
      <c r="Q40" s="29"/>
    </row>
    <row r="41" customFormat="false" ht="15" hidden="false" customHeight="false" outlineLevel="0" collapsed="false">
      <c r="A41" s="29"/>
      <c r="B41" s="33"/>
      <c r="C41" s="29"/>
      <c r="D41" s="29"/>
      <c r="E41" s="29"/>
      <c r="F41" s="30"/>
      <c r="G41" s="29"/>
      <c r="H41" s="29"/>
      <c r="I41" s="29"/>
      <c r="J41" s="29"/>
      <c r="K41" s="30"/>
      <c r="L41" s="29"/>
      <c r="M41" s="29"/>
      <c r="N41" s="33"/>
      <c r="O41" s="29"/>
      <c r="P41" s="29"/>
      <c r="Q41" s="29"/>
    </row>
    <row r="42" customFormat="false" ht="15" hidden="false" customHeight="false" outlineLevel="0" collapsed="false">
      <c r="A42" s="29"/>
      <c r="B42" s="33"/>
      <c r="C42" s="29"/>
      <c r="D42" s="29"/>
      <c r="E42" s="29"/>
      <c r="F42" s="30"/>
      <c r="G42" s="29"/>
      <c r="H42" s="29"/>
      <c r="I42" s="29"/>
      <c r="J42" s="29"/>
      <c r="K42" s="30"/>
      <c r="L42" s="29"/>
      <c r="M42" s="29"/>
      <c r="N42" s="33"/>
      <c r="O42" s="29"/>
      <c r="P42" s="29"/>
      <c r="Q42" s="29"/>
    </row>
    <row r="43" customFormat="false" ht="15" hidden="false" customHeight="false" outlineLevel="0" collapsed="false">
      <c r="A43" s="29"/>
      <c r="B43" s="33"/>
      <c r="C43" s="29"/>
      <c r="D43" s="29"/>
      <c r="E43" s="29"/>
      <c r="F43" s="30"/>
      <c r="G43" s="29"/>
      <c r="H43" s="29"/>
      <c r="I43" s="29"/>
      <c r="J43" s="29"/>
      <c r="K43" s="30"/>
      <c r="L43" s="29"/>
      <c r="M43" s="29"/>
      <c r="N43" s="33"/>
      <c r="O43" s="29"/>
      <c r="P43" s="29"/>
      <c r="Q43" s="29"/>
    </row>
    <row r="44" customFormat="false" ht="15" hidden="false" customHeight="false" outlineLevel="0" collapsed="false">
      <c r="A44" s="29"/>
      <c r="B44" s="33"/>
      <c r="C44" s="29"/>
      <c r="D44" s="29"/>
      <c r="E44" s="29"/>
      <c r="F44" s="30"/>
      <c r="G44" s="29"/>
      <c r="H44" s="29"/>
      <c r="I44" s="29"/>
      <c r="J44" s="29"/>
      <c r="K44" s="30"/>
      <c r="L44" s="29"/>
      <c r="M44" s="29"/>
      <c r="N44" s="33"/>
      <c r="O44" s="29"/>
      <c r="P44" s="29"/>
      <c r="Q44" s="29"/>
    </row>
    <row r="45" customFormat="false" ht="15" hidden="false" customHeight="false" outlineLevel="0" collapsed="false">
      <c r="A45" s="29"/>
      <c r="B45" s="33"/>
      <c r="C45" s="29"/>
      <c r="D45" s="29"/>
      <c r="E45" s="29"/>
      <c r="F45" s="30"/>
      <c r="G45" s="29"/>
      <c r="H45" s="29"/>
      <c r="I45" s="29"/>
      <c r="J45" s="29"/>
      <c r="K45" s="30"/>
      <c r="L45" s="29"/>
      <c r="M45" s="29"/>
      <c r="N45" s="33"/>
      <c r="O45" s="29"/>
      <c r="P45" s="29"/>
      <c r="Q45" s="29"/>
    </row>
  </sheetData>
  <mergeCells count="3">
    <mergeCell ref="A1:Q1"/>
    <mergeCell ref="A2:Q2"/>
    <mergeCell ref="A3:Q3"/>
  </mergeCells>
  <conditionalFormatting sqref="J6:J45">
    <cfRule type="cellIs" priority="2" operator="equal" aboveAverage="0" equalAverage="0" bottom="0" percent="0" rank="0" text="" dxfId="0">
      <formula>"Approved"</formula>
    </cfRule>
    <cfRule type="cellIs" priority="3" operator="equal" aboveAverage="0" equalAverage="0" bottom="0" percent="0" rank="0" text="" dxfId="0">
      <formula>"Disbursed"</formula>
    </cfRule>
    <cfRule type="cellIs" priority="4" operator="equal" aboveAverage="0" equalAverage="0" bottom="0" percent="0" rank="0" text="" dxfId="1">
      <formula>"Rejected"</formula>
    </cfRule>
    <cfRule type="cellIs" priority="5" operator="equal" aboveAverage="0" equalAverage="0" bottom="0" percent="0" rank="0" text="" dxfId="2">
      <formula>"Pending"</formula>
    </cfRule>
  </conditionalFormatting>
  <dataValidations count="3">
    <dataValidation allowBlank="true" error="Pick one of the listed options, or add a new option on the Lists sheet." errorStyle="stop" errorTitle="Choose from the list" operator="between" showDropDown="false" showErrorMessage="true" showInputMessage="false" sqref="D6:D45" type="list">
      <formula1>Lists!$A$2:$A$11</formula1>
      <formula2>0</formula2>
    </dataValidation>
    <dataValidation allowBlank="true" errorStyle="stop" operator="between" showDropDown="false" showErrorMessage="false" showInputMessage="false" sqref="E6:E45" type="list">
      <formula1>PRODUCTS!$B$6:$B$17</formula1>
      <formula2>0</formula2>
    </dataValidation>
    <dataValidation allowBlank="true" error="Pick one of the listed options, or add a new option on the Lists sheet." errorStyle="stop" errorTitle="Choose from the list" operator="between" showDropDown="false" showErrorMessage="true" showInputMessage="false" sqref="J6:J45" type="list">
      <formula1>Lists!$E$2:$E$7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4" min="3" style="0" width="18"/>
    <col collapsed="false" customWidth="true" hidden="false" outlineLevel="0" max="5" min="5" style="0" width="16"/>
    <col collapsed="false" customWidth="true" hidden="false" outlineLevel="0" max="6" min="6" style="0" width="22"/>
    <col collapsed="false" customWidth="true" hidden="false" outlineLevel="0" max="9" min="7" style="0" width="14"/>
    <col collapsed="false" customWidth="true" hidden="false" outlineLevel="0" max="10" min="10" style="0" width="12"/>
    <col collapsed="false" customWidth="true" hidden="false" outlineLevel="0" max="11" min="11" style="0" width="15"/>
    <col collapsed="false" customWidth="true" hidden="false" outlineLevel="0" max="12" min="12" style="0" width="10"/>
    <col collapsed="false" customWidth="true" hidden="false" outlineLevel="0" max="13" min="13" style="0" width="14"/>
    <col collapsed="false" customWidth="true" hidden="false" outlineLevel="0" max="16" min="14" style="0" width="13"/>
    <col collapsed="false" customWidth="true" hidden="false" outlineLevel="0" max="18" min="17" style="0" width="14"/>
    <col collapsed="false" customWidth="true" hidden="false" outlineLevel="0" max="21" min="19" style="0" width="15"/>
    <col collapsed="false" customWidth="true" hidden="false" outlineLevel="0" max="22" min="22" style="0" width="12"/>
    <col collapsed="false" customWidth="true" hidden="false" outlineLevel="0" max="23" min="23" style="0" width="14"/>
    <col collapsed="false" customWidth="true" hidden="false" outlineLevel="0" max="24" min="24" style="0" width="11"/>
    <col collapsed="false" customWidth="true" hidden="false" outlineLevel="0" max="25" min="25" style="0" width="15"/>
    <col collapsed="false" customWidth="true" hidden="false" outlineLevel="0" max="27" min="26" style="0" width="12"/>
    <col collapsed="false" customWidth="true" hidden="false" outlineLevel="0" max="28" min="28" style="0" width="13"/>
    <col collapsed="false" customWidth="true" hidden="false" outlineLevel="0" max="29" min="29" style="0" width="22"/>
  </cols>
  <sheetData>
    <row r="1" customFormat="false" ht="16.15" hidden="false" customHeight="false" outlineLevel="0" collapsed="false">
      <c r="A1" s="9" t="s">
        <v>240</v>
      </c>
      <c r="B1" s="9"/>
      <c r="C1" s="9"/>
      <c r="D1" s="9"/>
      <c r="E1" s="9"/>
      <c r="F1" s="9"/>
      <c r="G1" s="9"/>
      <c r="H1" s="9"/>
      <c r="I1" s="9"/>
      <c r="J1" s="9"/>
      <c r="K1" s="9"/>
      <c r="L1" s="9"/>
      <c r="M1" s="9"/>
      <c r="N1" s="9"/>
      <c r="O1" s="9"/>
      <c r="P1" s="9"/>
      <c r="Q1" s="9"/>
      <c r="R1" s="9"/>
      <c r="S1" s="9"/>
      <c r="T1" s="9"/>
      <c r="U1" s="9"/>
      <c r="V1" s="9"/>
      <c r="W1" s="9"/>
      <c r="X1" s="9"/>
      <c r="Y1" s="9"/>
      <c r="Z1" s="9"/>
      <c r="AA1" s="9"/>
      <c r="AB1" s="9"/>
      <c r="AC1" s="9"/>
    </row>
    <row r="2" customFormat="false" ht="15" hidden="false" customHeight="false" outlineLevel="0" collapsed="false">
      <c r="A2" s="10" t="s">
        <v>241</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row>
    <row r="3" customFormat="false" ht="67.5" hidden="false" customHeight="true" outlineLevel="0" collapsed="false">
      <c r="A3" s="17" t="s">
        <v>242</v>
      </c>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row>
    <row r="5" customFormat="false" ht="32.8" hidden="false" customHeight="false" outlineLevel="0" collapsed="false">
      <c r="A5" s="25" t="s">
        <v>243</v>
      </c>
      <c r="B5" s="25" t="s">
        <v>228</v>
      </c>
      <c r="C5" s="25" t="s">
        <v>216</v>
      </c>
      <c r="D5" s="25" t="s">
        <v>93</v>
      </c>
      <c r="E5" s="25" t="s">
        <v>223</v>
      </c>
      <c r="F5" s="25" t="s">
        <v>230</v>
      </c>
      <c r="G5" s="25" t="s">
        <v>244</v>
      </c>
      <c r="H5" s="25" t="s">
        <v>245</v>
      </c>
      <c r="I5" s="25" t="s">
        <v>94</v>
      </c>
      <c r="J5" s="25" t="s">
        <v>149</v>
      </c>
      <c r="K5" s="25" t="s">
        <v>246</v>
      </c>
      <c r="L5" s="25" t="s">
        <v>247</v>
      </c>
      <c r="M5" s="25" t="s">
        <v>95</v>
      </c>
      <c r="N5" s="25" t="s">
        <v>248</v>
      </c>
      <c r="O5" s="25" t="s">
        <v>249</v>
      </c>
      <c r="P5" s="25" t="s">
        <v>250</v>
      </c>
      <c r="Q5" s="25" t="s">
        <v>251</v>
      </c>
      <c r="R5" s="25" t="s">
        <v>252</v>
      </c>
      <c r="S5" s="25" t="s">
        <v>253</v>
      </c>
      <c r="T5" s="25" t="s">
        <v>254</v>
      </c>
      <c r="U5" s="25" t="s">
        <v>255</v>
      </c>
      <c r="V5" s="25" t="s">
        <v>256</v>
      </c>
      <c r="W5" s="25" t="s">
        <v>257</v>
      </c>
      <c r="X5" s="25" t="s">
        <v>258</v>
      </c>
      <c r="Y5" s="25" t="s">
        <v>259</v>
      </c>
      <c r="Z5" s="25" t="s">
        <v>159</v>
      </c>
      <c r="AA5" s="25" t="s">
        <v>260</v>
      </c>
      <c r="AB5" s="25" t="s">
        <v>261</v>
      </c>
      <c r="AC5" s="25" t="s">
        <v>160</v>
      </c>
    </row>
    <row r="6" customFormat="false" ht="64.15" hidden="false" customHeight="false" outlineLevel="0" collapsed="false">
      <c r="A6" s="26" t="s">
        <v>211</v>
      </c>
      <c r="B6" s="27" t="s">
        <v>161</v>
      </c>
      <c r="C6" s="27" t="s">
        <v>189</v>
      </c>
      <c r="D6" s="27" t="s">
        <v>82</v>
      </c>
      <c r="E6" s="27" t="s">
        <v>239</v>
      </c>
      <c r="F6" s="27" t="s">
        <v>162</v>
      </c>
      <c r="G6" s="32" t="n">
        <f aca="false">IFERROR(IF(F6="","",INDEX(PRODUCTS!$D$6:$D$17,MATCH(F6,PRODUCTS!$B$6:$B$17,0))),"Product not found")</f>
        <v>24</v>
      </c>
      <c r="H6" s="32" t="str">
        <f aca="false">IFERROR(IF(F6="","",INDEX(PRODUCTS!$C$6:$C$17,MATCH(F6,PRODUCTS!$B$6:$B$17,0))),"Product not found")</f>
        <v>Reducing Balance</v>
      </c>
      <c r="I6" s="27" t="s">
        <v>105</v>
      </c>
      <c r="J6" s="32" t="n">
        <v>24</v>
      </c>
      <c r="K6" s="28" t="n">
        <v>5000000</v>
      </c>
      <c r="L6" s="32" t="n">
        <v>12</v>
      </c>
      <c r="M6" s="27" t="s">
        <v>106</v>
      </c>
      <c r="N6" s="31" t="n">
        <v>46037</v>
      </c>
      <c r="O6" s="31" t="n">
        <v>46068</v>
      </c>
      <c r="P6" s="31" t="n">
        <f aca="false">IF(OR(N6="",L6=""),"",EDATE(N6,L6))</f>
        <v>46402</v>
      </c>
      <c r="Q6" s="35" t="n">
        <f aca="false">IF(OR(K6="",J6="",L6="",L6=0),"",IF(I6="Flat Rate",(K6+K6*J6/100*L6/12)/L6,PMT(J6/1200,L6,-K6)))</f>
        <v>472797.983114757</v>
      </c>
      <c r="R6" s="28" t="n">
        <f aca="false">IF(OR(S6="",K6=""),"",S6-K6)</f>
        <v>673575.797377089</v>
      </c>
      <c r="S6" s="28" t="n">
        <f aca="false">IF(OR(Q6="",L6=""),"",Q6*L6)</f>
        <v>5673575.79737709</v>
      </c>
      <c r="T6" s="27" t="n">
        <f aca="false">IF(A6="","",SUMIFS(REPAYMENTS!$F$5:$F$104,REPAYMENTS!$C$5:$C$104,A6))</f>
        <v>470735</v>
      </c>
      <c r="U6" s="28" t="n">
        <f aca="false">IF(OR(S6="",T6=""),"",MAX(0,S6-T6))</f>
        <v>5202840.79737709</v>
      </c>
      <c r="V6" s="32" t="n">
        <f aca="true">IF(OR(O6="",L6=""),"",IF(TODAY()&lt;O6,0,MIN(L6,DATEDIF(O6,TODAY(),"m")+1)))</f>
        <v>8</v>
      </c>
      <c r="W6" s="28" t="n">
        <f aca="false">IF(OR(V6="",Q6="",T6=""),"",MAX(0,V6*Q6-T6))</f>
        <v>3311648.86491806</v>
      </c>
      <c r="X6" s="36" t="n">
        <f aca="true">IF(OR(W6="",V6=""),"",IF(OR(W6&lt;=0,Z6="Fully Paid",Z6="Written Off"),0,TODAY()-EDATE(O6,V6-1)))</f>
        <v>17</v>
      </c>
      <c r="Y6" s="37" t="str">
        <f aca="false">IF(A6="","",IF(Z6="Written Off","Written Off",IF(OR(X6="",X6=0),"Current",IF(X6&lt;=30,"1-30 Days",IF(X6&lt;=60,"31-60 Days",IF(X6&lt;=90,"61-90 Days","90+ Days (PAR90)"))))))</f>
        <v>1-30 Days</v>
      </c>
      <c r="Z6" s="27" t="s">
        <v>107</v>
      </c>
      <c r="AA6" s="27"/>
      <c r="AB6" s="27"/>
      <c r="AC6" s="27" t="s">
        <v>262</v>
      </c>
    </row>
    <row r="7" customFormat="false" ht="15" hidden="false" customHeight="false" outlineLevel="0" collapsed="false">
      <c r="A7" s="29"/>
      <c r="B7" s="29"/>
      <c r="C7" s="29"/>
      <c r="D7" s="29"/>
      <c r="E7" s="29"/>
      <c r="F7" s="29"/>
      <c r="G7" s="34" t="str">
        <f aca="false">IFERROR(IF(F7="","",INDEX(PRODUCTS!$D$6:$D$17,MATCH(F7,PRODUCTS!$B$6:$B$17,0))),"Product not found")</f>
        <v/>
      </c>
      <c r="H7" s="34" t="str">
        <f aca="false">IFERROR(IF(F7="","",INDEX(PRODUCTS!$C$6:$C$17,MATCH(F7,PRODUCTS!$B$6:$B$17,0))),"Product not found")</f>
        <v/>
      </c>
      <c r="I7" s="29"/>
      <c r="J7" s="34"/>
      <c r="K7" s="30"/>
      <c r="L7" s="34"/>
      <c r="M7" s="29"/>
      <c r="N7" s="33"/>
      <c r="O7" s="33"/>
      <c r="P7" s="33" t="str">
        <f aca="false">IF(OR(N7="",L7=""),"",EDATE(N7,L7))</f>
        <v/>
      </c>
      <c r="Q7" s="38" t="str">
        <f aca="false">IF(OR(K7="",J7="",L7="",L7=0),"",IF(I7="Flat Rate",(K7+K7*J7/100*L7/12)/L7,PMT(J7/1200,L7,-K7)))</f>
        <v/>
      </c>
      <c r="R7" s="30" t="str">
        <f aca="false">IF(OR(S7="",K7=""),"",S7-K7)</f>
        <v/>
      </c>
      <c r="S7" s="30" t="str">
        <f aca="false">IF(OR(Q7="",L7=""),"",Q7*L7)</f>
        <v/>
      </c>
      <c r="T7" s="29" t="str">
        <f aca="false">IF(A7="","",SUMIFS(REPAYMENTS!$F$5:$F$104,REPAYMENTS!$C$5:$C$104,A7))</f>
        <v/>
      </c>
      <c r="U7" s="30" t="str">
        <f aca="false">IF(OR(S7="",T7=""),"",MAX(0,S7-T7))</f>
        <v/>
      </c>
      <c r="V7" s="34" t="str">
        <f aca="true">IF(OR(O7="",L7=""),"",IF(TODAY()&lt;O7,0,MIN(L7,DATEDIF(O7,TODAY(),"m")+1)))</f>
        <v/>
      </c>
      <c r="W7" s="30" t="str">
        <f aca="false">IF(OR(V7="",Q7="",T7=""),"",MAX(0,V7*Q7-T7))</f>
        <v/>
      </c>
      <c r="X7" s="39" t="str">
        <f aca="true">IF(OR(W7="",V7=""),"",IF(OR(W7&lt;=0,Z7="Fully Paid",Z7="Written Off"),0,TODAY()-EDATE(O7,V7-1)))</f>
        <v/>
      </c>
      <c r="Y7" s="34" t="str">
        <f aca="false">IF(A7="","",IF(Z7="Written Off","Written Off",IF(OR(X7="",X7=0),"Current",IF(X7&lt;=30,"1-30 Days",IF(X7&lt;=60,"31-60 Days",IF(X7&lt;=90,"61-90 Days","90+ Days (PAR90)"))))))</f>
        <v/>
      </c>
      <c r="Z7" s="29"/>
      <c r="AA7" s="29"/>
      <c r="AB7" s="29"/>
      <c r="AC7" s="29"/>
    </row>
    <row r="8" customFormat="false" ht="15" hidden="false" customHeight="false" outlineLevel="0" collapsed="false">
      <c r="A8" s="29"/>
      <c r="B8" s="29"/>
      <c r="C8" s="29"/>
      <c r="D8" s="29"/>
      <c r="E8" s="29"/>
      <c r="F8" s="29"/>
      <c r="G8" s="34" t="str">
        <f aca="false">IFERROR(IF(F8="","",INDEX(PRODUCTS!$D$6:$D$17,MATCH(F8,PRODUCTS!$B$6:$B$17,0))),"Product not found")</f>
        <v/>
      </c>
      <c r="H8" s="34" t="str">
        <f aca="false">IFERROR(IF(F8="","",INDEX(PRODUCTS!$C$6:$C$17,MATCH(F8,PRODUCTS!$B$6:$B$17,0))),"Product not found")</f>
        <v/>
      </c>
      <c r="I8" s="29"/>
      <c r="J8" s="34"/>
      <c r="K8" s="30"/>
      <c r="L8" s="34"/>
      <c r="M8" s="29"/>
      <c r="N8" s="33"/>
      <c r="O8" s="33"/>
      <c r="P8" s="33" t="str">
        <f aca="false">IF(OR(N8="",L8=""),"",EDATE(N8,L8))</f>
        <v/>
      </c>
      <c r="Q8" s="38" t="str">
        <f aca="false">IF(OR(K8="",J8="",L8="",L8=0),"",IF(I8="Flat Rate",(K8+K8*J8/100*L8/12)/L8,PMT(J8/1200,L8,-K8)))</f>
        <v/>
      </c>
      <c r="R8" s="30" t="str">
        <f aca="false">IF(OR(S8="",K8=""),"",S8-K8)</f>
        <v/>
      </c>
      <c r="S8" s="30" t="str">
        <f aca="false">IF(OR(Q8="",L8=""),"",Q8*L8)</f>
        <v/>
      </c>
      <c r="T8" s="29" t="str">
        <f aca="false">IF(A8="","",SUMIFS(REPAYMENTS!$F$5:$F$104,REPAYMENTS!$C$5:$C$104,A8))</f>
        <v/>
      </c>
      <c r="U8" s="30" t="str">
        <f aca="false">IF(OR(S8="",T8=""),"",MAX(0,S8-T8))</f>
        <v/>
      </c>
      <c r="V8" s="34" t="str">
        <f aca="true">IF(OR(O8="",L8=""),"",IF(TODAY()&lt;O8,0,MIN(L8,DATEDIF(O8,TODAY(),"m")+1)))</f>
        <v/>
      </c>
      <c r="W8" s="30" t="str">
        <f aca="false">IF(OR(V8="",Q8="",T8=""),"",MAX(0,V8*Q8-T8))</f>
        <v/>
      </c>
      <c r="X8" s="39" t="str">
        <f aca="true">IF(OR(W8="",V8=""),"",IF(OR(W8&lt;=0,Z8="Fully Paid",Z8="Written Off"),0,TODAY()-EDATE(O8,V8-1)))</f>
        <v/>
      </c>
      <c r="Y8" s="34" t="str">
        <f aca="false">IF(A8="","",IF(Z8="Written Off","Written Off",IF(OR(X8="",X8=0),"Current",IF(X8&lt;=30,"1-30 Days",IF(X8&lt;=60,"31-60 Days",IF(X8&lt;=90,"61-90 Days","90+ Days (PAR90)"))))))</f>
        <v/>
      </c>
      <c r="Z8" s="29"/>
      <c r="AA8" s="29"/>
      <c r="AB8" s="29"/>
      <c r="AC8" s="29"/>
    </row>
    <row r="9" customFormat="false" ht="15" hidden="false" customHeight="false" outlineLevel="0" collapsed="false">
      <c r="A9" s="29"/>
      <c r="B9" s="29"/>
      <c r="C9" s="29"/>
      <c r="D9" s="29"/>
      <c r="E9" s="29"/>
      <c r="F9" s="29"/>
      <c r="G9" s="34" t="str">
        <f aca="false">IFERROR(IF(F9="","",INDEX(PRODUCTS!$D$6:$D$17,MATCH(F9,PRODUCTS!$B$6:$B$17,0))),"Product not found")</f>
        <v/>
      </c>
      <c r="H9" s="34" t="str">
        <f aca="false">IFERROR(IF(F9="","",INDEX(PRODUCTS!$C$6:$C$17,MATCH(F9,PRODUCTS!$B$6:$B$17,0))),"Product not found")</f>
        <v/>
      </c>
      <c r="I9" s="29"/>
      <c r="J9" s="34"/>
      <c r="K9" s="30"/>
      <c r="L9" s="34"/>
      <c r="M9" s="29"/>
      <c r="N9" s="33"/>
      <c r="O9" s="33"/>
      <c r="P9" s="33" t="str">
        <f aca="false">IF(OR(N9="",L9=""),"",EDATE(N9,L9))</f>
        <v/>
      </c>
      <c r="Q9" s="38" t="str">
        <f aca="false">IF(OR(K9="",J9="",L9="",L9=0),"",IF(I9="Flat Rate",(K9+K9*J9/100*L9/12)/L9,PMT(J9/1200,L9,-K9)))</f>
        <v/>
      </c>
      <c r="R9" s="30" t="str">
        <f aca="false">IF(OR(S9="",K9=""),"",S9-K9)</f>
        <v/>
      </c>
      <c r="S9" s="30" t="str">
        <f aca="false">IF(OR(Q9="",L9=""),"",Q9*L9)</f>
        <v/>
      </c>
      <c r="T9" s="29" t="str">
        <f aca="false">IF(A9="","",SUMIFS(REPAYMENTS!$F$5:$F$104,REPAYMENTS!$C$5:$C$104,A9))</f>
        <v/>
      </c>
      <c r="U9" s="30" t="str">
        <f aca="false">IF(OR(S9="",T9=""),"",MAX(0,S9-T9))</f>
        <v/>
      </c>
      <c r="V9" s="34" t="str">
        <f aca="true">IF(OR(O9="",L9=""),"",IF(TODAY()&lt;O9,0,MIN(L9,DATEDIF(O9,TODAY(),"m")+1)))</f>
        <v/>
      </c>
      <c r="W9" s="30" t="str">
        <f aca="false">IF(OR(V9="",Q9="",T9=""),"",MAX(0,V9*Q9-T9))</f>
        <v/>
      </c>
      <c r="X9" s="39" t="str">
        <f aca="true">IF(OR(W9="",V9=""),"",IF(OR(W9&lt;=0,Z9="Fully Paid",Z9="Written Off"),0,TODAY()-EDATE(O9,V9-1)))</f>
        <v/>
      </c>
      <c r="Y9" s="34" t="str">
        <f aca="false">IF(A9="","",IF(Z9="Written Off","Written Off",IF(OR(X9="",X9=0),"Current",IF(X9&lt;=30,"1-30 Days",IF(X9&lt;=60,"31-60 Days",IF(X9&lt;=90,"61-90 Days","90+ Days (PAR90)"))))))</f>
        <v/>
      </c>
      <c r="Z9" s="29"/>
      <c r="AA9" s="29"/>
      <c r="AB9" s="29"/>
      <c r="AC9" s="29"/>
    </row>
    <row r="10" customFormat="false" ht="15" hidden="false" customHeight="false" outlineLevel="0" collapsed="false">
      <c r="A10" s="29"/>
      <c r="B10" s="29"/>
      <c r="C10" s="29"/>
      <c r="D10" s="29"/>
      <c r="E10" s="29"/>
      <c r="F10" s="29"/>
      <c r="G10" s="34" t="str">
        <f aca="false">IFERROR(IF(F10="","",INDEX(PRODUCTS!$D$6:$D$17,MATCH(F10,PRODUCTS!$B$6:$B$17,0))),"Product not found")</f>
        <v/>
      </c>
      <c r="H10" s="34" t="str">
        <f aca="false">IFERROR(IF(F10="","",INDEX(PRODUCTS!$C$6:$C$17,MATCH(F10,PRODUCTS!$B$6:$B$17,0))),"Product not found")</f>
        <v/>
      </c>
      <c r="I10" s="29"/>
      <c r="J10" s="34"/>
      <c r="K10" s="30"/>
      <c r="L10" s="34"/>
      <c r="M10" s="29"/>
      <c r="N10" s="33"/>
      <c r="O10" s="33"/>
      <c r="P10" s="33" t="str">
        <f aca="false">IF(OR(N10="",L10=""),"",EDATE(N10,L10))</f>
        <v/>
      </c>
      <c r="Q10" s="38" t="str">
        <f aca="false">IF(OR(K10="",J10="",L10="",L10=0),"",IF(I10="Flat Rate",(K10+K10*J10/100*L10/12)/L10,PMT(J10/1200,L10,-K10)))</f>
        <v/>
      </c>
      <c r="R10" s="30" t="str">
        <f aca="false">IF(OR(S10="",K10=""),"",S10-K10)</f>
        <v/>
      </c>
      <c r="S10" s="30" t="str">
        <f aca="false">IF(OR(Q10="",L10=""),"",Q10*L10)</f>
        <v/>
      </c>
      <c r="T10" s="29" t="str">
        <f aca="false">IF(A10="","",SUMIFS(REPAYMENTS!$F$5:$F$104,REPAYMENTS!$C$5:$C$104,A10))</f>
        <v/>
      </c>
      <c r="U10" s="30" t="str">
        <f aca="false">IF(OR(S10="",T10=""),"",MAX(0,S10-T10))</f>
        <v/>
      </c>
      <c r="V10" s="34" t="str">
        <f aca="true">IF(OR(O10="",L10=""),"",IF(TODAY()&lt;O10,0,MIN(L10,DATEDIF(O10,TODAY(),"m")+1)))</f>
        <v/>
      </c>
      <c r="W10" s="30" t="str">
        <f aca="false">IF(OR(V10="",Q10="",T10=""),"",MAX(0,V10*Q10-T10))</f>
        <v/>
      </c>
      <c r="X10" s="39" t="str">
        <f aca="true">IF(OR(W10="",V10=""),"",IF(OR(W10&lt;=0,Z10="Fully Paid",Z10="Written Off"),0,TODAY()-EDATE(O10,V10-1)))</f>
        <v/>
      </c>
      <c r="Y10" s="34" t="str">
        <f aca="false">IF(A10="","",IF(Z10="Written Off","Written Off",IF(OR(X10="",X10=0),"Current",IF(X10&lt;=30,"1-30 Days",IF(X10&lt;=60,"31-60 Days",IF(X10&lt;=90,"61-90 Days","90+ Days (PAR90)"))))))</f>
        <v/>
      </c>
      <c r="Z10" s="29"/>
      <c r="AA10" s="29"/>
      <c r="AB10" s="29"/>
      <c r="AC10" s="29"/>
    </row>
    <row r="11" customFormat="false" ht="15" hidden="false" customHeight="false" outlineLevel="0" collapsed="false">
      <c r="A11" s="29"/>
      <c r="B11" s="29"/>
      <c r="C11" s="29"/>
      <c r="D11" s="29"/>
      <c r="E11" s="29"/>
      <c r="F11" s="29"/>
      <c r="G11" s="34" t="str">
        <f aca="false">IFERROR(IF(F11="","",INDEX(PRODUCTS!$D$6:$D$17,MATCH(F11,PRODUCTS!$B$6:$B$17,0))),"Product not found")</f>
        <v/>
      </c>
      <c r="H11" s="34" t="str">
        <f aca="false">IFERROR(IF(F11="","",INDEX(PRODUCTS!$C$6:$C$17,MATCH(F11,PRODUCTS!$B$6:$B$17,0))),"Product not found")</f>
        <v/>
      </c>
      <c r="I11" s="29"/>
      <c r="J11" s="34"/>
      <c r="K11" s="30"/>
      <c r="L11" s="34"/>
      <c r="M11" s="29"/>
      <c r="N11" s="33"/>
      <c r="O11" s="33"/>
      <c r="P11" s="33" t="str">
        <f aca="false">IF(OR(N11="",L11=""),"",EDATE(N11,L11))</f>
        <v/>
      </c>
      <c r="Q11" s="38" t="str">
        <f aca="false">IF(OR(K11="",J11="",L11="",L11=0),"",IF(I11="Flat Rate",(K11+K11*J11/100*L11/12)/L11,PMT(J11/1200,L11,-K11)))</f>
        <v/>
      </c>
      <c r="R11" s="30" t="str">
        <f aca="false">IF(OR(S11="",K11=""),"",S11-K11)</f>
        <v/>
      </c>
      <c r="S11" s="30" t="str">
        <f aca="false">IF(OR(Q11="",L11=""),"",Q11*L11)</f>
        <v/>
      </c>
      <c r="T11" s="29" t="str">
        <f aca="false">IF(A11="","",SUMIFS(REPAYMENTS!$F$5:$F$104,REPAYMENTS!$C$5:$C$104,A11))</f>
        <v/>
      </c>
      <c r="U11" s="30" t="str">
        <f aca="false">IF(OR(S11="",T11=""),"",MAX(0,S11-T11))</f>
        <v/>
      </c>
      <c r="V11" s="34" t="str">
        <f aca="true">IF(OR(O11="",L11=""),"",IF(TODAY()&lt;O11,0,MIN(L11,DATEDIF(O11,TODAY(),"m")+1)))</f>
        <v/>
      </c>
      <c r="W11" s="30" t="str">
        <f aca="false">IF(OR(V11="",Q11="",T11=""),"",MAX(0,V11*Q11-T11))</f>
        <v/>
      </c>
      <c r="X11" s="39" t="str">
        <f aca="true">IF(OR(W11="",V11=""),"",IF(OR(W11&lt;=0,Z11="Fully Paid",Z11="Written Off"),0,TODAY()-EDATE(O11,V11-1)))</f>
        <v/>
      </c>
      <c r="Y11" s="34" t="str">
        <f aca="false">IF(A11="","",IF(Z11="Written Off","Written Off",IF(OR(X11="",X11=0),"Current",IF(X11&lt;=30,"1-30 Days",IF(X11&lt;=60,"31-60 Days",IF(X11&lt;=90,"61-90 Days","90+ Days (PAR90)"))))))</f>
        <v/>
      </c>
      <c r="Z11" s="29"/>
      <c r="AA11" s="29"/>
      <c r="AB11" s="29"/>
      <c r="AC11" s="29"/>
    </row>
    <row r="12" customFormat="false" ht="15" hidden="false" customHeight="false" outlineLevel="0" collapsed="false">
      <c r="A12" s="29"/>
      <c r="B12" s="29"/>
      <c r="C12" s="29"/>
      <c r="D12" s="29"/>
      <c r="E12" s="29"/>
      <c r="F12" s="29"/>
      <c r="G12" s="34" t="str">
        <f aca="false">IFERROR(IF(F12="","",INDEX(PRODUCTS!$D$6:$D$17,MATCH(F12,PRODUCTS!$B$6:$B$17,0))),"Product not found")</f>
        <v/>
      </c>
      <c r="H12" s="34" t="str">
        <f aca="false">IFERROR(IF(F12="","",INDEX(PRODUCTS!$C$6:$C$17,MATCH(F12,PRODUCTS!$B$6:$B$17,0))),"Product not found")</f>
        <v/>
      </c>
      <c r="I12" s="29"/>
      <c r="J12" s="34"/>
      <c r="K12" s="30"/>
      <c r="L12" s="34"/>
      <c r="M12" s="29"/>
      <c r="N12" s="33"/>
      <c r="O12" s="33"/>
      <c r="P12" s="33" t="str">
        <f aca="false">IF(OR(N12="",L12=""),"",EDATE(N12,L12))</f>
        <v/>
      </c>
      <c r="Q12" s="38" t="str">
        <f aca="false">IF(OR(K12="",J12="",L12="",L12=0),"",IF(I12="Flat Rate",(K12+K12*J12/100*L12/12)/L12,PMT(J12/1200,L12,-K12)))</f>
        <v/>
      </c>
      <c r="R12" s="30" t="str">
        <f aca="false">IF(OR(S12="",K12=""),"",S12-K12)</f>
        <v/>
      </c>
      <c r="S12" s="30" t="str">
        <f aca="false">IF(OR(Q12="",L12=""),"",Q12*L12)</f>
        <v/>
      </c>
      <c r="T12" s="29" t="str">
        <f aca="false">IF(A12="","",SUMIFS(REPAYMENTS!$F$5:$F$104,REPAYMENTS!$C$5:$C$104,A12))</f>
        <v/>
      </c>
      <c r="U12" s="30" t="str">
        <f aca="false">IF(OR(S12="",T12=""),"",MAX(0,S12-T12))</f>
        <v/>
      </c>
      <c r="V12" s="34" t="str">
        <f aca="true">IF(OR(O12="",L12=""),"",IF(TODAY()&lt;O12,0,MIN(L12,DATEDIF(O12,TODAY(),"m")+1)))</f>
        <v/>
      </c>
      <c r="W12" s="30" t="str">
        <f aca="false">IF(OR(V12="",Q12="",T12=""),"",MAX(0,V12*Q12-T12))</f>
        <v/>
      </c>
      <c r="X12" s="39" t="str">
        <f aca="true">IF(OR(W12="",V12=""),"",IF(OR(W12&lt;=0,Z12="Fully Paid",Z12="Written Off"),0,TODAY()-EDATE(O12,V12-1)))</f>
        <v/>
      </c>
      <c r="Y12" s="34" t="str">
        <f aca="false">IF(A12="","",IF(Z12="Written Off","Written Off",IF(OR(X12="",X12=0),"Current",IF(X12&lt;=30,"1-30 Days",IF(X12&lt;=60,"31-60 Days",IF(X12&lt;=90,"61-90 Days","90+ Days (PAR90)"))))))</f>
        <v/>
      </c>
      <c r="Z12" s="29"/>
      <c r="AA12" s="29"/>
      <c r="AB12" s="29"/>
      <c r="AC12" s="29"/>
    </row>
    <row r="13" customFormat="false" ht="15" hidden="false" customHeight="false" outlineLevel="0" collapsed="false">
      <c r="A13" s="29"/>
      <c r="B13" s="29"/>
      <c r="C13" s="29"/>
      <c r="D13" s="29"/>
      <c r="E13" s="29"/>
      <c r="F13" s="29"/>
      <c r="G13" s="34" t="str">
        <f aca="false">IFERROR(IF(F13="","",INDEX(PRODUCTS!$D$6:$D$17,MATCH(F13,PRODUCTS!$B$6:$B$17,0))),"Product not found")</f>
        <v/>
      </c>
      <c r="H13" s="34" t="str">
        <f aca="false">IFERROR(IF(F13="","",INDEX(PRODUCTS!$C$6:$C$17,MATCH(F13,PRODUCTS!$B$6:$B$17,0))),"Product not found")</f>
        <v/>
      </c>
      <c r="I13" s="29"/>
      <c r="J13" s="34"/>
      <c r="K13" s="30"/>
      <c r="L13" s="34"/>
      <c r="M13" s="29"/>
      <c r="N13" s="33"/>
      <c r="O13" s="33"/>
      <c r="P13" s="33" t="str">
        <f aca="false">IF(OR(N13="",L13=""),"",EDATE(N13,L13))</f>
        <v/>
      </c>
      <c r="Q13" s="38" t="str">
        <f aca="false">IF(OR(K13="",J13="",L13="",L13=0),"",IF(I13="Flat Rate",(K13+K13*J13/100*L13/12)/L13,PMT(J13/1200,L13,-K13)))</f>
        <v/>
      </c>
      <c r="R13" s="30" t="str">
        <f aca="false">IF(OR(S13="",K13=""),"",S13-K13)</f>
        <v/>
      </c>
      <c r="S13" s="30" t="str">
        <f aca="false">IF(OR(Q13="",L13=""),"",Q13*L13)</f>
        <v/>
      </c>
      <c r="T13" s="29" t="str">
        <f aca="false">IF(A13="","",SUMIFS(REPAYMENTS!$F$5:$F$104,REPAYMENTS!$C$5:$C$104,A13))</f>
        <v/>
      </c>
      <c r="U13" s="30" t="str">
        <f aca="false">IF(OR(S13="",T13=""),"",MAX(0,S13-T13))</f>
        <v/>
      </c>
      <c r="V13" s="34" t="str">
        <f aca="true">IF(OR(O13="",L13=""),"",IF(TODAY()&lt;O13,0,MIN(L13,DATEDIF(O13,TODAY(),"m")+1)))</f>
        <v/>
      </c>
      <c r="W13" s="30" t="str">
        <f aca="false">IF(OR(V13="",Q13="",T13=""),"",MAX(0,V13*Q13-T13))</f>
        <v/>
      </c>
      <c r="X13" s="39" t="str">
        <f aca="true">IF(OR(W13="",V13=""),"",IF(OR(W13&lt;=0,Z13="Fully Paid",Z13="Written Off"),0,TODAY()-EDATE(O13,V13-1)))</f>
        <v/>
      </c>
      <c r="Y13" s="34" t="str">
        <f aca="false">IF(A13="","",IF(Z13="Written Off","Written Off",IF(OR(X13="",X13=0),"Current",IF(X13&lt;=30,"1-30 Days",IF(X13&lt;=60,"31-60 Days",IF(X13&lt;=90,"61-90 Days","90+ Days (PAR90)"))))))</f>
        <v/>
      </c>
      <c r="Z13" s="29"/>
      <c r="AA13" s="29"/>
      <c r="AB13" s="29"/>
      <c r="AC13" s="29"/>
    </row>
    <row r="14" customFormat="false" ht="15" hidden="false" customHeight="false" outlineLevel="0" collapsed="false">
      <c r="A14" s="29"/>
      <c r="B14" s="29"/>
      <c r="C14" s="29"/>
      <c r="D14" s="29"/>
      <c r="E14" s="29"/>
      <c r="F14" s="29"/>
      <c r="G14" s="34" t="str">
        <f aca="false">IFERROR(IF(F14="","",INDEX(PRODUCTS!$D$6:$D$17,MATCH(F14,PRODUCTS!$B$6:$B$17,0))),"Product not found")</f>
        <v/>
      </c>
      <c r="H14" s="34" t="str">
        <f aca="false">IFERROR(IF(F14="","",INDEX(PRODUCTS!$C$6:$C$17,MATCH(F14,PRODUCTS!$B$6:$B$17,0))),"Product not found")</f>
        <v/>
      </c>
      <c r="I14" s="29"/>
      <c r="J14" s="34"/>
      <c r="K14" s="30"/>
      <c r="L14" s="34"/>
      <c r="M14" s="29"/>
      <c r="N14" s="33"/>
      <c r="O14" s="33"/>
      <c r="P14" s="33" t="str">
        <f aca="false">IF(OR(N14="",L14=""),"",EDATE(N14,L14))</f>
        <v/>
      </c>
      <c r="Q14" s="38" t="str">
        <f aca="false">IF(OR(K14="",J14="",L14="",L14=0),"",IF(I14="Flat Rate",(K14+K14*J14/100*L14/12)/L14,PMT(J14/1200,L14,-K14)))</f>
        <v/>
      </c>
      <c r="R14" s="30" t="str">
        <f aca="false">IF(OR(S14="",K14=""),"",S14-K14)</f>
        <v/>
      </c>
      <c r="S14" s="30" t="str">
        <f aca="false">IF(OR(Q14="",L14=""),"",Q14*L14)</f>
        <v/>
      </c>
      <c r="T14" s="29" t="str">
        <f aca="false">IF(A14="","",SUMIFS(REPAYMENTS!$F$5:$F$104,REPAYMENTS!$C$5:$C$104,A14))</f>
        <v/>
      </c>
      <c r="U14" s="30" t="str">
        <f aca="false">IF(OR(S14="",T14=""),"",MAX(0,S14-T14))</f>
        <v/>
      </c>
      <c r="V14" s="34" t="str">
        <f aca="true">IF(OR(O14="",L14=""),"",IF(TODAY()&lt;O14,0,MIN(L14,DATEDIF(O14,TODAY(),"m")+1)))</f>
        <v/>
      </c>
      <c r="W14" s="30" t="str">
        <f aca="false">IF(OR(V14="",Q14="",T14=""),"",MAX(0,V14*Q14-T14))</f>
        <v/>
      </c>
      <c r="X14" s="39" t="str">
        <f aca="true">IF(OR(W14="",V14=""),"",IF(OR(W14&lt;=0,Z14="Fully Paid",Z14="Written Off"),0,TODAY()-EDATE(O14,V14-1)))</f>
        <v/>
      </c>
      <c r="Y14" s="34" t="str">
        <f aca="false">IF(A14="","",IF(Z14="Written Off","Written Off",IF(OR(X14="",X14=0),"Current",IF(X14&lt;=30,"1-30 Days",IF(X14&lt;=60,"31-60 Days",IF(X14&lt;=90,"61-90 Days","90+ Days (PAR90)"))))))</f>
        <v/>
      </c>
      <c r="Z14" s="29"/>
      <c r="AA14" s="29"/>
      <c r="AB14" s="29"/>
      <c r="AC14" s="29"/>
    </row>
    <row r="15" customFormat="false" ht="15" hidden="false" customHeight="false" outlineLevel="0" collapsed="false">
      <c r="A15" s="29"/>
      <c r="B15" s="29"/>
      <c r="C15" s="29"/>
      <c r="D15" s="29"/>
      <c r="E15" s="29"/>
      <c r="F15" s="29"/>
      <c r="G15" s="34" t="str">
        <f aca="false">IFERROR(IF(F15="","",INDEX(PRODUCTS!$D$6:$D$17,MATCH(F15,PRODUCTS!$B$6:$B$17,0))),"Product not found")</f>
        <v/>
      </c>
      <c r="H15" s="34" t="str">
        <f aca="false">IFERROR(IF(F15="","",INDEX(PRODUCTS!$C$6:$C$17,MATCH(F15,PRODUCTS!$B$6:$B$17,0))),"Product not found")</f>
        <v/>
      </c>
      <c r="I15" s="29"/>
      <c r="J15" s="34"/>
      <c r="K15" s="30"/>
      <c r="L15" s="34"/>
      <c r="M15" s="29"/>
      <c r="N15" s="33"/>
      <c r="O15" s="33"/>
      <c r="P15" s="33" t="str">
        <f aca="false">IF(OR(N15="",L15=""),"",EDATE(N15,L15))</f>
        <v/>
      </c>
      <c r="Q15" s="38" t="str">
        <f aca="false">IF(OR(K15="",J15="",L15="",L15=0),"",IF(I15="Flat Rate",(K15+K15*J15/100*L15/12)/L15,PMT(J15/1200,L15,-K15)))</f>
        <v/>
      </c>
      <c r="R15" s="30" t="str">
        <f aca="false">IF(OR(S15="",K15=""),"",S15-K15)</f>
        <v/>
      </c>
      <c r="S15" s="30" t="str">
        <f aca="false">IF(OR(Q15="",L15=""),"",Q15*L15)</f>
        <v/>
      </c>
      <c r="T15" s="29" t="str">
        <f aca="false">IF(A15="","",SUMIFS(REPAYMENTS!$F$5:$F$104,REPAYMENTS!$C$5:$C$104,A15))</f>
        <v/>
      </c>
      <c r="U15" s="30" t="str">
        <f aca="false">IF(OR(S15="",T15=""),"",MAX(0,S15-T15))</f>
        <v/>
      </c>
      <c r="V15" s="34" t="str">
        <f aca="true">IF(OR(O15="",L15=""),"",IF(TODAY()&lt;O15,0,MIN(L15,DATEDIF(O15,TODAY(),"m")+1)))</f>
        <v/>
      </c>
      <c r="W15" s="30" t="str">
        <f aca="false">IF(OR(V15="",Q15="",T15=""),"",MAX(0,V15*Q15-T15))</f>
        <v/>
      </c>
      <c r="X15" s="39" t="str">
        <f aca="true">IF(OR(W15="",V15=""),"",IF(OR(W15&lt;=0,Z15="Fully Paid",Z15="Written Off"),0,TODAY()-EDATE(O15,V15-1)))</f>
        <v/>
      </c>
      <c r="Y15" s="34" t="str">
        <f aca="false">IF(A15="","",IF(Z15="Written Off","Written Off",IF(OR(X15="",X15=0),"Current",IF(X15&lt;=30,"1-30 Days",IF(X15&lt;=60,"31-60 Days",IF(X15&lt;=90,"61-90 Days","90+ Days (PAR90)"))))))</f>
        <v/>
      </c>
      <c r="Z15" s="29"/>
      <c r="AA15" s="29"/>
      <c r="AB15" s="29"/>
      <c r="AC15" s="29"/>
    </row>
    <row r="16" customFormat="false" ht="15" hidden="false" customHeight="false" outlineLevel="0" collapsed="false">
      <c r="A16" s="29"/>
      <c r="B16" s="29"/>
      <c r="C16" s="29"/>
      <c r="D16" s="29"/>
      <c r="E16" s="29"/>
      <c r="F16" s="29"/>
      <c r="G16" s="34" t="str">
        <f aca="false">IFERROR(IF(F16="","",INDEX(PRODUCTS!$D$6:$D$17,MATCH(F16,PRODUCTS!$B$6:$B$17,0))),"Product not found")</f>
        <v/>
      </c>
      <c r="H16" s="34" t="str">
        <f aca="false">IFERROR(IF(F16="","",INDEX(PRODUCTS!$C$6:$C$17,MATCH(F16,PRODUCTS!$B$6:$B$17,0))),"Product not found")</f>
        <v/>
      </c>
      <c r="I16" s="29"/>
      <c r="J16" s="34"/>
      <c r="K16" s="30"/>
      <c r="L16" s="34"/>
      <c r="M16" s="29"/>
      <c r="N16" s="33"/>
      <c r="O16" s="33"/>
      <c r="P16" s="33" t="str">
        <f aca="false">IF(OR(N16="",L16=""),"",EDATE(N16,L16))</f>
        <v/>
      </c>
      <c r="Q16" s="38" t="str">
        <f aca="false">IF(OR(K16="",J16="",L16="",L16=0),"",IF(I16="Flat Rate",(K16+K16*J16/100*L16/12)/L16,PMT(J16/1200,L16,-K16)))</f>
        <v/>
      </c>
      <c r="R16" s="30" t="str">
        <f aca="false">IF(OR(S16="",K16=""),"",S16-K16)</f>
        <v/>
      </c>
      <c r="S16" s="30" t="str">
        <f aca="false">IF(OR(Q16="",L16=""),"",Q16*L16)</f>
        <v/>
      </c>
      <c r="T16" s="29" t="str">
        <f aca="false">IF(A16="","",SUMIFS(REPAYMENTS!$F$5:$F$104,REPAYMENTS!$C$5:$C$104,A16))</f>
        <v/>
      </c>
      <c r="U16" s="30" t="str">
        <f aca="false">IF(OR(S16="",T16=""),"",MAX(0,S16-T16))</f>
        <v/>
      </c>
      <c r="V16" s="34" t="str">
        <f aca="true">IF(OR(O16="",L16=""),"",IF(TODAY()&lt;O16,0,MIN(L16,DATEDIF(O16,TODAY(),"m")+1)))</f>
        <v/>
      </c>
      <c r="W16" s="30" t="str">
        <f aca="false">IF(OR(V16="",Q16="",T16=""),"",MAX(0,V16*Q16-T16))</f>
        <v/>
      </c>
      <c r="X16" s="39" t="str">
        <f aca="true">IF(OR(W16="",V16=""),"",IF(OR(W16&lt;=0,Z16="Fully Paid",Z16="Written Off"),0,TODAY()-EDATE(O16,V16-1)))</f>
        <v/>
      </c>
      <c r="Y16" s="34" t="str">
        <f aca="false">IF(A16="","",IF(Z16="Written Off","Written Off",IF(OR(X16="",X16=0),"Current",IF(X16&lt;=30,"1-30 Days",IF(X16&lt;=60,"31-60 Days",IF(X16&lt;=90,"61-90 Days","90+ Days (PAR90)"))))))</f>
        <v/>
      </c>
      <c r="Z16" s="29"/>
      <c r="AA16" s="29"/>
      <c r="AB16" s="29"/>
      <c r="AC16" s="29"/>
    </row>
    <row r="17" customFormat="false" ht="15" hidden="false" customHeight="false" outlineLevel="0" collapsed="false">
      <c r="A17" s="29"/>
      <c r="B17" s="29"/>
      <c r="C17" s="29"/>
      <c r="D17" s="29"/>
      <c r="E17" s="29"/>
      <c r="F17" s="29"/>
      <c r="G17" s="34" t="str">
        <f aca="false">IFERROR(IF(F17="","",INDEX(PRODUCTS!$D$6:$D$17,MATCH(F17,PRODUCTS!$B$6:$B$17,0))),"Product not found")</f>
        <v/>
      </c>
      <c r="H17" s="34" t="str">
        <f aca="false">IFERROR(IF(F17="","",INDEX(PRODUCTS!$C$6:$C$17,MATCH(F17,PRODUCTS!$B$6:$B$17,0))),"Product not found")</f>
        <v/>
      </c>
      <c r="I17" s="29"/>
      <c r="J17" s="34"/>
      <c r="K17" s="30"/>
      <c r="L17" s="34"/>
      <c r="M17" s="29"/>
      <c r="N17" s="33"/>
      <c r="O17" s="33"/>
      <c r="P17" s="33" t="str">
        <f aca="false">IF(OR(N17="",L17=""),"",EDATE(N17,L17))</f>
        <v/>
      </c>
      <c r="Q17" s="38" t="str">
        <f aca="false">IF(OR(K17="",J17="",L17="",L17=0),"",IF(I17="Flat Rate",(K17+K17*J17/100*L17/12)/L17,PMT(J17/1200,L17,-K17)))</f>
        <v/>
      </c>
      <c r="R17" s="30" t="str">
        <f aca="false">IF(OR(S17="",K17=""),"",S17-K17)</f>
        <v/>
      </c>
      <c r="S17" s="30" t="str">
        <f aca="false">IF(OR(Q17="",L17=""),"",Q17*L17)</f>
        <v/>
      </c>
      <c r="T17" s="29" t="str">
        <f aca="false">IF(A17="","",SUMIFS(REPAYMENTS!$F$5:$F$104,REPAYMENTS!$C$5:$C$104,A17))</f>
        <v/>
      </c>
      <c r="U17" s="30" t="str">
        <f aca="false">IF(OR(S17="",T17=""),"",MAX(0,S17-T17))</f>
        <v/>
      </c>
      <c r="V17" s="34" t="str">
        <f aca="true">IF(OR(O17="",L17=""),"",IF(TODAY()&lt;O17,0,MIN(L17,DATEDIF(O17,TODAY(),"m")+1)))</f>
        <v/>
      </c>
      <c r="W17" s="30" t="str">
        <f aca="false">IF(OR(V17="",Q17="",T17=""),"",MAX(0,V17*Q17-T17))</f>
        <v/>
      </c>
      <c r="X17" s="39" t="str">
        <f aca="true">IF(OR(W17="",V17=""),"",IF(OR(W17&lt;=0,Z17="Fully Paid",Z17="Written Off"),0,TODAY()-EDATE(O17,V17-1)))</f>
        <v/>
      </c>
      <c r="Y17" s="34" t="str">
        <f aca="false">IF(A17="","",IF(Z17="Written Off","Written Off",IF(OR(X17="",X17=0),"Current",IF(X17&lt;=30,"1-30 Days",IF(X17&lt;=60,"31-60 Days",IF(X17&lt;=90,"61-90 Days","90+ Days (PAR90)"))))))</f>
        <v/>
      </c>
      <c r="Z17" s="29"/>
      <c r="AA17" s="29"/>
      <c r="AB17" s="29"/>
      <c r="AC17" s="29"/>
    </row>
    <row r="18" customFormat="false" ht="15" hidden="false" customHeight="false" outlineLevel="0" collapsed="false">
      <c r="A18" s="29"/>
      <c r="B18" s="29"/>
      <c r="C18" s="29"/>
      <c r="D18" s="29"/>
      <c r="E18" s="29"/>
      <c r="F18" s="29"/>
      <c r="G18" s="34" t="str">
        <f aca="false">IFERROR(IF(F18="","",INDEX(PRODUCTS!$D$6:$D$17,MATCH(F18,PRODUCTS!$B$6:$B$17,0))),"Product not found")</f>
        <v/>
      </c>
      <c r="H18" s="34" t="str">
        <f aca="false">IFERROR(IF(F18="","",INDEX(PRODUCTS!$C$6:$C$17,MATCH(F18,PRODUCTS!$B$6:$B$17,0))),"Product not found")</f>
        <v/>
      </c>
      <c r="I18" s="29"/>
      <c r="J18" s="34"/>
      <c r="K18" s="30"/>
      <c r="L18" s="34"/>
      <c r="M18" s="29"/>
      <c r="N18" s="33"/>
      <c r="O18" s="33"/>
      <c r="P18" s="33" t="str">
        <f aca="false">IF(OR(N18="",L18=""),"",EDATE(N18,L18))</f>
        <v/>
      </c>
      <c r="Q18" s="38" t="str">
        <f aca="false">IF(OR(K18="",J18="",L18="",L18=0),"",IF(I18="Flat Rate",(K18+K18*J18/100*L18/12)/L18,PMT(J18/1200,L18,-K18)))</f>
        <v/>
      </c>
      <c r="R18" s="30" t="str">
        <f aca="false">IF(OR(S18="",K18=""),"",S18-K18)</f>
        <v/>
      </c>
      <c r="S18" s="30" t="str">
        <f aca="false">IF(OR(Q18="",L18=""),"",Q18*L18)</f>
        <v/>
      </c>
      <c r="T18" s="29" t="str">
        <f aca="false">IF(A18="","",SUMIFS(REPAYMENTS!$F$5:$F$104,REPAYMENTS!$C$5:$C$104,A18))</f>
        <v/>
      </c>
      <c r="U18" s="30" t="str">
        <f aca="false">IF(OR(S18="",T18=""),"",MAX(0,S18-T18))</f>
        <v/>
      </c>
      <c r="V18" s="34" t="str">
        <f aca="true">IF(OR(O18="",L18=""),"",IF(TODAY()&lt;O18,0,MIN(L18,DATEDIF(O18,TODAY(),"m")+1)))</f>
        <v/>
      </c>
      <c r="W18" s="30" t="str">
        <f aca="false">IF(OR(V18="",Q18="",T18=""),"",MAX(0,V18*Q18-T18))</f>
        <v/>
      </c>
      <c r="X18" s="39" t="str">
        <f aca="true">IF(OR(W18="",V18=""),"",IF(OR(W18&lt;=0,Z18="Fully Paid",Z18="Written Off"),0,TODAY()-EDATE(O18,V18-1)))</f>
        <v/>
      </c>
      <c r="Y18" s="34" t="str">
        <f aca="false">IF(A18="","",IF(Z18="Written Off","Written Off",IF(OR(X18="",X18=0),"Current",IF(X18&lt;=30,"1-30 Days",IF(X18&lt;=60,"31-60 Days",IF(X18&lt;=90,"61-90 Days","90+ Days (PAR90)"))))))</f>
        <v/>
      </c>
      <c r="Z18" s="29"/>
      <c r="AA18" s="29"/>
      <c r="AB18" s="29"/>
      <c r="AC18" s="29"/>
    </row>
    <row r="19" customFormat="false" ht="15" hidden="false" customHeight="false" outlineLevel="0" collapsed="false">
      <c r="A19" s="29"/>
      <c r="B19" s="29"/>
      <c r="C19" s="29"/>
      <c r="D19" s="29"/>
      <c r="E19" s="29"/>
      <c r="F19" s="29"/>
      <c r="G19" s="34" t="str">
        <f aca="false">IFERROR(IF(F19="","",INDEX(PRODUCTS!$D$6:$D$17,MATCH(F19,PRODUCTS!$B$6:$B$17,0))),"Product not found")</f>
        <v/>
      </c>
      <c r="H19" s="34" t="str">
        <f aca="false">IFERROR(IF(F19="","",INDEX(PRODUCTS!$C$6:$C$17,MATCH(F19,PRODUCTS!$B$6:$B$17,0))),"Product not found")</f>
        <v/>
      </c>
      <c r="I19" s="29"/>
      <c r="J19" s="34"/>
      <c r="K19" s="30"/>
      <c r="L19" s="34"/>
      <c r="M19" s="29"/>
      <c r="N19" s="33"/>
      <c r="O19" s="33"/>
      <c r="P19" s="33" t="str">
        <f aca="false">IF(OR(N19="",L19=""),"",EDATE(N19,L19))</f>
        <v/>
      </c>
      <c r="Q19" s="38" t="str">
        <f aca="false">IF(OR(K19="",J19="",L19="",L19=0),"",IF(I19="Flat Rate",(K19+K19*J19/100*L19/12)/L19,PMT(J19/1200,L19,-K19)))</f>
        <v/>
      </c>
      <c r="R19" s="30" t="str">
        <f aca="false">IF(OR(S19="",K19=""),"",S19-K19)</f>
        <v/>
      </c>
      <c r="S19" s="30" t="str">
        <f aca="false">IF(OR(Q19="",L19=""),"",Q19*L19)</f>
        <v/>
      </c>
      <c r="T19" s="29" t="str">
        <f aca="false">IF(A19="","",SUMIFS(REPAYMENTS!$F$5:$F$104,REPAYMENTS!$C$5:$C$104,A19))</f>
        <v/>
      </c>
      <c r="U19" s="30" t="str">
        <f aca="false">IF(OR(S19="",T19=""),"",MAX(0,S19-T19))</f>
        <v/>
      </c>
      <c r="V19" s="34" t="str">
        <f aca="true">IF(OR(O19="",L19=""),"",IF(TODAY()&lt;O19,0,MIN(L19,DATEDIF(O19,TODAY(),"m")+1)))</f>
        <v/>
      </c>
      <c r="W19" s="30" t="str">
        <f aca="false">IF(OR(V19="",Q19="",T19=""),"",MAX(0,V19*Q19-T19))</f>
        <v/>
      </c>
      <c r="X19" s="39" t="str">
        <f aca="true">IF(OR(W19="",V19=""),"",IF(OR(W19&lt;=0,Z19="Fully Paid",Z19="Written Off"),0,TODAY()-EDATE(O19,V19-1)))</f>
        <v/>
      </c>
      <c r="Y19" s="34" t="str">
        <f aca="false">IF(A19="","",IF(Z19="Written Off","Written Off",IF(OR(X19="",X19=0),"Current",IF(X19&lt;=30,"1-30 Days",IF(X19&lt;=60,"31-60 Days",IF(X19&lt;=90,"61-90 Days","90+ Days (PAR90)"))))))</f>
        <v/>
      </c>
      <c r="Z19" s="29"/>
      <c r="AA19" s="29"/>
      <c r="AB19" s="29"/>
      <c r="AC19" s="29"/>
    </row>
    <row r="20" customFormat="false" ht="15" hidden="false" customHeight="false" outlineLevel="0" collapsed="false">
      <c r="A20" s="29"/>
      <c r="B20" s="29"/>
      <c r="C20" s="29"/>
      <c r="D20" s="29"/>
      <c r="E20" s="29"/>
      <c r="F20" s="29"/>
      <c r="G20" s="34" t="str">
        <f aca="false">IFERROR(IF(F20="","",INDEX(PRODUCTS!$D$6:$D$17,MATCH(F20,PRODUCTS!$B$6:$B$17,0))),"Product not found")</f>
        <v/>
      </c>
      <c r="H20" s="34" t="str">
        <f aca="false">IFERROR(IF(F20="","",INDEX(PRODUCTS!$C$6:$C$17,MATCH(F20,PRODUCTS!$B$6:$B$17,0))),"Product not found")</f>
        <v/>
      </c>
      <c r="I20" s="29"/>
      <c r="J20" s="34"/>
      <c r="K20" s="30"/>
      <c r="L20" s="34"/>
      <c r="M20" s="29"/>
      <c r="N20" s="33"/>
      <c r="O20" s="33"/>
      <c r="P20" s="33" t="str">
        <f aca="false">IF(OR(N20="",L20=""),"",EDATE(N20,L20))</f>
        <v/>
      </c>
      <c r="Q20" s="38" t="str">
        <f aca="false">IF(OR(K20="",J20="",L20="",L20=0),"",IF(I20="Flat Rate",(K20+K20*J20/100*L20/12)/L20,PMT(J20/1200,L20,-K20)))</f>
        <v/>
      </c>
      <c r="R20" s="30" t="str">
        <f aca="false">IF(OR(S20="",K20=""),"",S20-K20)</f>
        <v/>
      </c>
      <c r="S20" s="30" t="str">
        <f aca="false">IF(OR(Q20="",L20=""),"",Q20*L20)</f>
        <v/>
      </c>
      <c r="T20" s="29" t="str">
        <f aca="false">IF(A20="","",SUMIFS(REPAYMENTS!$F$5:$F$104,REPAYMENTS!$C$5:$C$104,A20))</f>
        <v/>
      </c>
      <c r="U20" s="30" t="str">
        <f aca="false">IF(OR(S20="",T20=""),"",MAX(0,S20-T20))</f>
        <v/>
      </c>
      <c r="V20" s="34" t="str">
        <f aca="true">IF(OR(O20="",L20=""),"",IF(TODAY()&lt;O20,0,MIN(L20,DATEDIF(O20,TODAY(),"m")+1)))</f>
        <v/>
      </c>
      <c r="W20" s="30" t="str">
        <f aca="false">IF(OR(V20="",Q20="",T20=""),"",MAX(0,V20*Q20-T20))</f>
        <v/>
      </c>
      <c r="X20" s="39" t="str">
        <f aca="true">IF(OR(W20="",V20=""),"",IF(OR(W20&lt;=0,Z20="Fully Paid",Z20="Written Off"),0,TODAY()-EDATE(O20,V20-1)))</f>
        <v/>
      </c>
      <c r="Y20" s="34" t="str">
        <f aca="false">IF(A20="","",IF(Z20="Written Off","Written Off",IF(OR(X20="",X20=0),"Current",IF(X20&lt;=30,"1-30 Days",IF(X20&lt;=60,"31-60 Days",IF(X20&lt;=90,"61-90 Days","90+ Days (PAR90)"))))))</f>
        <v/>
      </c>
      <c r="Z20" s="29"/>
      <c r="AA20" s="29"/>
      <c r="AB20" s="29"/>
      <c r="AC20" s="29"/>
    </row>
    <row r="21" customFormat="false" ht="15" hidden="false" customHeight="false" outlineLevel="0" collapsed="false">
      <c r="A21" s="29"/>
      <c r="B21" s="29"/>
      <c r="C21" s="29"/>
      <c r="D21" s="29"/>
      <c r="E21" s="29"/>
      <c r="F21" s="29"/>
      <c r="G21" s="34" t="str">
        <f aca="false">IFERROR(IF(F21="","",INDEX(PRODUCTS!$D$6:$D$17,MATCH(F21,PRODUCTS!$B$6:$B$17,0))),"Product not found")</f>
        <v/>
      </c>
      <c r="H21" s="34" t="str">
        <f aca="false">IFERROR(IF(F21="","",INDEX(PRODUCTS!$C$6:$C$17,MATCH(F21,PRODUCTS!$B$6:$B$17,0))),"Product not found")</f>
        <v/>
      </c>
      <c r="I21" s="29"/>
      <c r="J21" s="34"/>
      <c r="K21" s="30"/>
      <c r="L21" s="34"/>
      <c r="M21" s="29"/>
      <c r="N21" s="33"/>
      <c r="O21" s="33"/>
      <c r="P21" s="33" t="str">
        <f aca="false">IF(OR(N21="",L21=""),"",EDATE(N21,L21))</f>
        <v/>
      </c>
      <c r="Q21" s="38" t="str">
        <f aca="false">IF(OR(K21="",J21="",L21="",L21=0),"",IF(I21="Flat Rate",(K21+K21*J21/100*L21/12)/L21,PMT(J21/1200,L21,-K21)))</f>
        <v/>
      </c>
      <c r="R21" s="30" t="str">
        <f aca="false">IF(OR(S21="",K21=""),"",S21-K21)</f>
        <v/>
      </c>
      <c r="S21" s="30" t="str">
        <f aca="false">IF(OR(Q21="",L21=""),"",Q21*L21)</f>
        <v/>
      </c>
      <c r="T21" s="29" t="str">
        <f aca="false">IF(A21="","",SUMIFS(REPAYMENTS!$F$5:$F$104,REPAYMENTS!$C$5:$C$104,A21))</f>
        <v/>
      </c>
      <c r="U21" s="30" t="str">
        <f aca="false">IF(OR(S21="",T21=""),"",MAX(0,S21-T21))</f>
        <v/>
      </c>
      <c r="V21" s="34" t="str">
        <f aca="true">IF(OR(O21="",L21=""),"",IF(TODAY()&lt;O21,0,MIN(L21,DATEDIF(O21,TODAY(),"m")+1)))</f>
        <v/>
      </c>
      <c r="W21" s="30" t="str">
        <f aca="false">IF(OR(V21="",Q21="",T21=""),"",MAX(0,V21*Q21-T21))</f>
        <v/>
      </c>
      <c r="X21" s="39" t="str">
        <f aca="true">IF(OR(W21="",V21=""),"",IF(OR(W21&lt;=0,Z21="Fully Paid",Z21="Written Off"),0,TODAY()-EDATE(O21,V21-1)))</f>
        <v/>
      </c>
      <c r="Y21" s="34" t="str">
        <f aca="false">IF(A21="","",IF(Z21="Written Off","Written Off",IF(OR(X21="",X21=0),"Current",IF(X21&lt;=30,"1-30 Days",IF(X21&lt;=60,"31-60 Days",IF(X21&lt;=90,"61-90 Days","90+ Days (PAR90)"))))))</f>
        <v/>
      </c>
      <c r="Z21" s="29"/>
      <c r="AA21" s="29"/>
      <c r="AB21" s="29"/>
      <c r="AC21" s="29"/>
    </row>
    <row r="22" customFormat="false" ht="15" hidden="false" customHeight="false" outlineLevel="0" collapsed="false">
      <c r="A22" s="29"/>
      <c r="B22" s="29"/>
      <c r="C22" s="29"/>
      <c r="D22" s="29"/>
      <c r="E22" s="29"/>
      <c r="F22" s="29"/>
      <c r="G22" s="34" t="str">
        <f aca="false">IFERROR(IF(F22="","",INDEX(PRODUCTS!$D$6:$D$17,MATCH(F22,PRODUCTS!$B$6:$B$17,0))),"Product not found")</f>
        <v/>
      </c>
      <c r="H22" s="34" t="str">
        <f aca="false">IFERROR(IF(F22="","",INDEX(PRODUCTS!$C$6:$C$17,MATCH(F22,PRODUCTS!$B$6:$B$17,0))),"Product not found")</f>
        <v/>
      </c>
      <c r="I22" s="29"/>
      <c r="J22" s="34"/>
      <c r="K22" s="30"/>
      <c r="L22" s="34"/>
      <c r="M22" s="29"/>
      <c r="N22" s="33"/>
      <c r="O22" s="33"/>
      <c r="P22" s="33" t="str">
        <f aca="false">IF(OR(N22="",L22=""),"",EDATE(N22,L22))</f>
        <v/>
      </c>
      <c r="Q22" s="38" t="str">
        <f aca="false">IF(OR(K22="",J22="",L22="",L22=0),"",IF(I22="Flat Rate",(K22+K22*J22/100*L22/12)/L22,PMT(J22/1200,L22,-K22)))</f>
        <v/>
      </c>
      <c r="R22" s="30" t="str">
        <f aca="false">IF(OR(S22="",K22=""),"",S22-K22)</f>
        <v/>
      </c>
      <c r="S22" s="30" t="str">
        <f aca="false">IF(OR(Q22="",L22=""),"",Q22*L22)</f>
        <v/>
      </c>
      <c r="T22" s="29" t="str">
        <f aca="false">IF(A22="","",SUMIFS(REPAYMENTS!$F$5:$F$104,REPAYMENTS!$C$5:$C$104,A22))</f>
        <v/>
      </c>
      <c r="U22" s="30" t="str">
        <f aca="false">IF(OR(S22="",T22=""),"",MAX(0,S22-T22))</f>
        <v/>
      </c>
      <c r="V22" s="34" t="str">
        <f aca="true">IF(OR(O22="",L22=""),"",IF(TODAY()&lt;O22,0,MIN(L22,DATEDIF(O22,TODAY(),"m")+1)))</f>
        <v/>
      </c>
      <c r="W22" s="30" t="str">
        <f aca="false">IF(OR(V22="",Q22="",T22=""),"",MAX(0,V22*Q22-T22))</f>
        <v/>
      </c>
      <c r="X22" s="39" t="str">
        <f aca="true">IF(OR(W22="",V22=""),"",IF(OR(W22&lt;=0,Z22="Fully Paid",Z22="Written Off"),0,TODAY()-EDATE(O22,V22-1)))</f>
        <v/>
      </c>
      <c r="Y22" s="34" t="str">
        <f aca="false">IF(A22="","",IF(Z22="Written Off","Written Off",IF(OR(X22="",X22=0),"Current",IF(X22&lt;=30,"1-30 Days",IF(X22&lt;=60,"31-60 Days",IF(X22&lt;=90,"61-90 Days","90+ Days (PAR90)"))))))</f>
        <v/>
      </c>
      <c r="Z22" s="29"/>
      <c r="AA22" s="29"/>
      <c r="AB22" s="29"/>
      <c r="AC22" s="29"/>
    </row>
    <row r="23" customFormat="false" ht="15" hidden="false" customHeight="false" outlineLevel="0" collapsed="false">
      <c r="A23" s="29"/>
      <c r="B23" s="29"/>
      <c r="C23" s="29"/>
      <c r="D23" s="29"/>
      <c r="E23" s="29"/>
      <c r="F23" s="29"/>
      <c r="G23" s="34" t="str">
        <f aca="false">IFERROR(IF(F23="","",INDEX(PRODUCTS!$D$6:$D$17,MATCH(F23,PRODUCTS!$B$6:$B$17,0))),"Product not found")</f>
        <v/>
      </c>
      <c r="H23" s="34" t="str">
        <f aca="false">IFERROR(IF(F23="","",INDEX(PRODUCTS!$C$6:$C$17,MATCH(F23,PRODUCTS!$B$6:$B$17,0))),"Product not found")</f>
        <v/>
      </c>
      <c r="I23" s="29"/>
      <c r="J23" s="34"/>
      <c r="K23" s="30"/>
      <c r="L23" s="34"/>
      <c r="M23" s="29"/>
      <c r="N23" s="33"/>
      <c r="O23" s="33"/>
      <c r="P23" s="33" t="str">
        <f aca="false">IF(OR(N23="",L23=""),"",EDATE(N23,L23))</f>
        <v/>
      </c>
      <c r="Q23" s="38" t="str">
        <f aca="false">IF(OR(K23="",J23="",L23="",L23=0),"",IF(I23="Flat Rate",(K23+K23*J23/100*L23/12)/L23,PMT(J23/1200,L23,-K23)))</f>
        <v/>
      </c>
      <c r="R23" s="30" t="str">
        <f aca="false">IF(OR(S23="",K23=""),"",S23-K23)</f>
        <v/>
      </c>
      <c r="S23" s="30" t="str">
        <f aca="false">IF(OR(Q23="",L23=""),"",Q23*L23)</f>
        <v/>
      </c>
      <c r="T23" s="29" t="str">
        <f aca="false">IF(A23="","",SUMIFS(REPAYMENTS!$F$5:$F$104,REPAYMENTS!$C$5:$C$104,A23))</f>
        <v/>
      </c>
      <c r="U23" s="30" t="str">
        <f aca="false">IF(OR(S23="",T23=""),"",MAX(0,S23-T23))</f>
        <v/>
      </c>
      <c r="V23" s="34" t="str">
        <f aca="true">IF(OR(O23="",L23=""),"",IF(TODAY()&lt;O23,0,MIN(L23,DATEDIF(O23,TODAY(),"m")+1)))</f>
        <v/>
      </c>
      <c r="W23" s="30" t="str">
        <f aca="false">IF(OR(V23="",Q23="",T23=""),"",MAX(0,V23*Q23-T23))</f>
        <v/>
      </c>
      <c r="X23" s="39" t="str">
        <f aca="true">IF(OR(W23="",V23=""),"",IF(OR(W23&lt;=0,Z23="Fully Paid",Z23="Written Off"),0,TODAY()-EDATE(O23,V23-1)))</f>
        <v/>
      </c>
      <c r="Y23" s="34" t="str">
        <f aca="false">IF(A23="","",IF(Z23="Written Off","Written Off",IF(OR(X23="",X23=0),"Current",IF(X23&lt;=30,"1-30 Days",IF(X23&lt;=60,"31-60 Days",IF(X23&lt;=90,"61-90 Days","90+ Days (PAR90)"))))))</f>
        <v/>
      </c>
      <c r="Z23" s="29"/>
      <c r="AA23" s="29"/>
      <c r="AB23" s="29"/>
      <c r="AC23" s="29"/>
    </row>
    <row r="24" customFormat="false" ht="15" hidden="false" customHeight="false" outlineLevel="0" collapsed="false">
      <c r="A24" s="29"/>
      <c r="B24" s="29"/>
      <c r="C24" s="29"/>
      <c r="D24" s="29"/>
      <c r="E24" s="29"/>
      <c r="F24" s="29"/>
      <c r="G24" s="34" t="str">
        <f aca="false">IFERROR(IF(F24="","",INDEX(PRODUCTS!$D$6:$D$17,MATCH(F24,PRODUCTS!$B$6:$B$17,0))),"Product not found")</f>
        <v/>
      </c>
      <c r="H24" s="34" t="str">
        <f aca="false">IFERROR(IF(F24="","",INDEX(PRODUCTS!$C$6:$C$17,MATCH(F24,PRODUCTS!$B$6:$B$17,0))),"Product not found")</f>
        <v/>
      </c>
      <c r="I24" s="29"/>
      <c r="J24" s="34"/>
      <c r="K24" s="30"/>
      <c r="L24" s="34"/>
      <c r="M24" s="29"/>
      <c r="N24" s="33"/>
      <c r="O24" s="33"/>
      <c r="P24" s="33" t="str">
        <f aca="false">IF(OR(N24="",L24=""),"",EDATE(N24,L24))</f>
        <v/>
      </c>
      <c r="Q24" s="38" t="str">
        <f aca="false">IF(OR(K24="",J24="",L24="",L24=0),"",IF(I24="Flat Rate",(K24+K24*J24/100*L24/12)/L24,PMT(J24/1200,L24,-K24)))</f>
        <v/>
      </c>
      <c r="R24" s="30" t="str">
        <f aca="false">IF(OR(S24="",K24=""),"",S24-K24)</f>
        <v/>
      </c>
      <c r="S24" s="30" t="str">
        <f aca="false">IF(OR(Q24="",L24=""),"",Q24*L24)</f>
        <v/>
      </c>
      <c r="T24" s="29" t="str">
        <f aca="false">IF(A24="","",SUMIFS(REPAYMENTS!$F$5:$F$104,REPAYMENTS!$C$5:$C$104,A24))</f>
        <v/>
      </c>
      <c r="U24" s="30" t="str">
        <f aca="false">IF(OR(S24="",T24=""),"",MAX(0,S24-T24))</f>
        <v/>
      </c>
      <c r="V24" s="34" t="str">
        <f aca="true">IF(OR(O24="",L24=""),"",IF(TODAY()&lt;O24,0,MIN(L24,DATEDIF(O24,TODAY(),"m")+1)))</f>
        <v/>
      </c>
      <c r="W24" s="30" t="str">
        <f aca="false">IF(OR(V24="",Q24="",T24=""),"",MAX(0,V24*Q24-T24))</f>
        <v/>
      </c>
      <c r="X24" s="39" t="str">
        <f aca="true">IF(OR(W24="",V24=""),"",IF(OR(W24&lt;=0,Z24="Fully Paid",Z24="Written Off"),0,TODAY()-EDATE(O24,V24-1)))</f>
        <v/>
      </c>
      <c r="Y24" s="34" t="str">
        <f aca="false">IF(A24="","",IF(Z24="Written Off","Written Off",IF(OR(X24="",X24=0),"Current",IF(X24&lt;=30,"1-30 Days",IF(X24&lt;=60,"31-60 Days",IF(X24&lt;=90,"61-90 Days","90+ Days (PAR90)"))))))</f>
        <v/>
      </c>
      <c r="Z24" s="29"/>
      <c r="AA24" s="29"/>
      <c r="AB24" s="29"/>
      <c r="AC24" s="29"/>
    </row>
    <row r="25" customFormat="false" ht="15" hidden="false" customHeight="false" outlineLevel="0" collapsed="false">
      <c r="A25" s="29"/>
      <c r="B25" s="29"/>
      <c r="C25" s="29"/>
      <c r="D25" s="29"/>
      <c r="E25" s="29"/>
      <c r="F25" s="29"/>
      <c r="G25" s="34" t="str">
        <f aca="false">IFERROR(IF(F25="","",INDEX(PRODUCTS!$D$6:$D$17,MATCH(F25,PRODUCTS!$B$6:$B$17,0))),"Product not found")</f>
        <v/>
      </c>
      <c r="H25" s="34" t="str">
        <f aca="false">IFERROR(IF(F25="","",INDEX(PRODUCTS!$C$6:$C$17,MATCH(F25,PRODUCTS!$B$6:$B$17,0))),"Product not found")</f>
        <v/>
      </c>
      <c r="I25" s="29"/>
      <c r="J25" s="34"/>
      <c r="K25" s="30"/>
      <c r="L25" s="34"/>
      <c r="M25" s="29"/>
      <c r="N25" s="33"/>
      <c r="O25" s="33"/>
      <c r="P25" s="33" t="str">
        <f aca="false">IF(OR(N25="",L25=""),"",EDATE(N25,L25))</f>
        <v/>
      </c>
      <c r="Q25" s="38" t="str">
        <f aca="false">IF(OR(K25="",J25="",L25="",L25=0),"",IF(I25="Flat Rate",(K25+K25*J25/100*L25/12)/L25,PMT(J25/1200,L25,-K25)))</f>
        <v/>
      </c>
      <c r="R25" s="30" t="str">
        <f aca="false">IF(OR(S25="",K25=""),"",S25-K25)</f>
        <v/>
      </c>
      <c r="S25" s="30" t="str">
        <f aca="false">IF(OR(Q25="",L25=""),"",Q25*L25)</f>
        <v/>
      </c>
      <c r="T25" s="29" t="str">
        <f aca="false">IF(A25="","",SUMIFS(REPAYMENTS!$F$5:$F$104,REPAYMENTS!$C$5:$C$104,A25))</f>
        <v/>
      </c>
      <c r="U25" s="30" t="str">
        <f aca="false">IF(OR(S25="",T25=""),"",MAX(0,S25-T25))</f>
        <v/>
      </c>
      <c r="V25" s="34" t="str">
        <f aca="true">IF(OR(O25="",L25=""),"",IF(TODAY()&lt;O25,0,MIN(L25,DATEDIF(O25,TODAY(),"m")+1)))</f>
        <v/>
      </c>
      <c r="W25" s="30" t="str">
        <f aca="false">IF(OR(V25="",Q25="",T25=""),"",MAX(0,V25*Q25-T25))</f>
        <v/>
      </c>
      <c r="X25" s="39" t="str">
        <f aca="true">IF(OR(W25="",V25=""),"",IF(OR(W25&lt;=0,Z25="Fully Paid",Z25="Written Off"),0,TODAY()-EDATE(O25,V25-1)))</f>
        <v/>
      </c>
      <c r="Y25" s="34" t="str">
        <f aca="false">IF(A25="","",IF(Z25="Written Off","Written Off",IF(OR(X25="",X25=0),"Current",IF(X25&lt;=30,"1-30 Days",IF(X25&lt;=60,"31-60 Days",IF(X25&lt;=90,"61-90 Days","90+ Days (PAR90)"))))))</f>
        <v/>
      </c>
      <c r="Z25" s="29"/>
      <c r="AA25" s="29"/>
      <c r="AB25" s="29"/>
      <c r="AC25" s="29"/>
    </row>
    <row r="26" customFormat="false" ht="15" hidden="false" customHeight="false" outlineLevel="0" collapsed="false">
      <c r="A26" s="29"/>
      <c r="B26" s="29"/>
      <c r="C26" s="29"/>
      <c r="D26" s="29"/>
      <c r="E26" s="29"/>
      <c r="F26" s="29"/>
      <c r="G26" s="34" t="str">
        <f aca="false">IFERROR(IF(F26="","",INDEX(PRODUCTS!$D$6:$D$17,MATCH(F26,PRODUCTS!$B$6:$B$17,0))),"Product not found")</f>
        <v/>
      </c>
      <c r="H26" s="34" t="str">
        <f aca="false">IFERROR(IF(F26="","",INDEX(PRODUCTS!$C$6:$C$17,MATCH(F26,PRODUCTS!$B$6:$B$17,0))),"Product not found")</f>
        <v/>
      </c>
      <c r="I26" s="29"/>
      <c r="J26" s="34"/>
      <c r="K26" s="30"/>
      <c r="L26" s="34"/>
      <c r="M26" s="29"/>
      <c r="N26" s="33"/>
      <c r="O26" s="33"/>
      <c r="P26" s="33" t="str">
        <f aca="false">IF(OR(N26="",L26=""),"",EDATE(N26,L26))</f>
        <v/>
      </c>
      <c r="Q26" s="38" t="str">
        <f aca="false">IF(OR(K26="",J26="",L26="",L26=0),"",IF(I26="Flat Rate",(K26+K26*J26/100*L26/12)/L26,PMT(J26/1200,L26,-K26)))</f>
        <v/>
      </c>
      <c r="R26" s="30" t="str">
        <f aca="false">IF(OR(S26="",K26=""),"",S26-K26)</f>
        <v/>
      </c>
      <c r="S26" s="30" t="str">
        <f aca="false">IF(OR(Q26="",L26=""),"",Q26*L26)</f>
        <v/>
      </c>
      <c r="T26" s="29" t="str">
        <f aca="false">IF(A26="","",SUMIFS(REPAYMENTS!$F$5:$F$104,REPAYMENTS!$C$5:$C$104,A26))</f>
        <v/>
      </c>
      <c r="U26" s="30" t="str">
        <f aca="false">IF(OR(S26="",T26=""),"",MAX(0,S26-T26))</f>
        <v/>
      </c>
      <c r="V26" s="34" t="str">
        <f aca="true">IF(OR(O26="",L26=""),"",IF(TODAY()&lt;O26,0,MIN(L26,DATEDIF(O26,TODAY(),"m")+1)))</f>
        <v/>
      </c>
      <c r="W26" s="30" t="str">
        <f aca="false">IF(OR(V26="",Q26="",T26=""),"",MAX(0,V26*Q26-T26))</f>
        <v/>
      </c>
      <c r="X26" s="39" t="str">
        <f aca="true">IF(OR(W26="",V26=""),"",IF(OR(W26&lt;=0,Z26="Fully Paid",Z26="Written Off"),0,TODAY()-EDATE(O26,V26-1)))</f>
        <v/>
      </c>
      <c r="Y26" s="34" t="str">
        <f aca="false">IF(A26="","",IF(Z26="Written Off","Written Off",IF(OR(X26="",X26=0),"Current",IF(X26&lt;=30,"1-30 Days",IF(X26&lt;=60,"31-60 Days",IF(X26&lt;=90,"61-90 Days","90+ Days (PAR90)"))))))</f>
        <v/>
      </c>
      <c r="Z26" s="29"/>
      <c r="AA26" s="29"/>
      <c r="AB26" s="29"/>
      <c r="AC26" s="29"/>
    </row>
    <row r="27" customFormat="false" ht="15" hidden="false" customHeight="false" outlineLevel="0" collapsed="false">
      <c r="A27" s="29"/>
      <c r="B27" s="29"/>
      <c r="C27" s="29"/>
      <c r="D27" s="29"/>
      <c r="E27" s="29"/>
      <c r="F27" s="29"/>
      <c r="G27" s="34" t="str">
        <f aca="false">IFERROR(IF(F27="","",INDEX(PRODUCTS!$D$6:$D$17,MATCH(F27,PRODUCTS!$B$6:$B$17,0))),"Product not found")</f>
        <v/>
      </c>
      <c r="H27" s="34" t="str">
        <f aca="false">IFERROR(IF(F27="","",INDEX(PRODUCTS!$C$6:$C$17,MATCH(F27,PRODUCTS!$B$6:$B$17,0))),"Product not found")</f>
        <v/>
      </c>
      <c r="I27" s="29"/>
      <c r="J27" s="34"/>
      <c r="K27" s="30"/>
      <c r="L27" s="34"/>
      <c r="M27" s="29"/>
      <c r="N27" s="33"/>
      <c r="O27" s="33"/>
      <c r="P27" s="33" t="str">
        <f aca="false">IF(OR(N27="",L27=""),"",EDATE(N27,L27))</f>
        <v/>
      </c>
      <c r="Q27" s="38" t="str">
        <f aca="false">IF(OR(K27="",J27="",L27="",L27=0),"",IF(I27="Flat Rate",(K27+K27*J27/100*L27/12)/L27,PMT(J27/1200,L27,-K27)))</f>
        <v/>
      </c>
      <c r="R27" s="30" t="str">
        <f aca="false">IF(OR(S27="",K27=""),"",S27-K27)</f>
        <v/>
      </c>
      <c r="S27" s="30" t="str">
        <f aca="false">IF(OR(Q27="",L27=""),"",Q27*L27)</f>
        <v/>
      </c>
      <c r="T27" s="29" t="str">
        <f aca="false">IF(A27="","",SUMIFS(REPAYMENTS!$F$5:$F$104,REPAYMENTS!$C$5:$C$104,A27))</f>
        <v/>
      </c>
      <c r="U27" s="30" t="str">
        <f aca="false">IF(OR(S27="",T27=""),"",MAX(0,S27-T27))</f>
        <v/>
      </c>
      <c r="V27" s="34" t="str">
        <f aca="true">IF(OR(O27="",L27=""),"",IF(TODAY()&lt;O27,0,MIN(L27,DATEDIF(O27,TODAY(),"m")+1)))</f>
        <v/>
      </c>
      <c r="W27" s="30" t="str">
        <f aca="false">IF(OR(V27="",Q27="",T27=""),"",MAX(0,V27*Q27-T27))</f>
        <v/>
      </c>
      <c r="X27" s="39" t="str">
        <f aca="true">IF(OR(W27="",V27=""),"",IF(OR(W27&lt;=0,Z27="Fully Paid",Z27="Written Off"),0,TODAY()-EDATE(O27,V27-1)))</f>
        <v/>
      </c>
      <c r="Y27" s="34" t="str">
        <f aca="false">IF(A27="","",IF(Z27="Written Off","Written Off",IF(OR(X27="",X27=0),"Current",IF(X27&lt;=30,"1-30 Days",IF(X27&lt;=60,"31-60 Days",IF(X27&lt;=90,"61-90 Days","90+ Days (PAR90)"))))))</f>
        <v/>
      </c>
      <c r="Z27" s="29"/>
      <c r="AA27" s="29"/>
      <c r="AB27" s="29"/>
      <c r="AC27" s="29"/>
    </row>
    <row r="28" customFormat="false" ht="15" hidden="false" customHeight="false" outlineLevel="0" collapsed="false">
      <c r="A28" s="29"/>
      <c r="B28" s="29"/>
      <c r="C28" s="29"/>
      <c r="D28" s="29"/>
      <c r="E28" s="29"/>
      <c r="F28" s="29"/>
      <c r="G28" s="34" t="str">
        <f aca="false">IFERROR(IF(F28="","",INDEX(PRODUCTS!$D$6:$D$17,MATCH(F28,PRODUCTS!$B$6:$B$17,0))),"Product not found")</f>
        <v/>
      </c>
      <c r="H28" s="34" t="str">
        <f aca="false">IFERROR(IF(F28="","",INDEX(PRODUCTS!$C$6:$C$17,MATCH(F28,PRODUCTS!$B$6:$B$17,0))),"Product not found")</f>
        <v/>
      </c>
      <c r="I28" s="29"/>
      <c r="J28" s="34"/>
      <c r="K28" s="30"/>
      <c r="L28" s="34"/>
      <c r="M28" s="29"/>
      <c r="N28" s="33"/>
      <c r="O28" s="33"/>
      <c r="P28" s="33" t="str">
        <f aca="false">IF(OR(N28="",L28=""),"",EDATE(N28,L28))</f>
        <v/>
      </c>
      <c r="Q28" s="38" t="str">
        <f aca="false">IF(OR(K28="",J28="",L28="",L28=0),"",IF(I28="Flat Rate",(K28+K28*J28/100*L28/12)/L28,PMT(J28/1200,L28,-K28)))</f>
        <v/>
      </c>
      <c r="R28" s="30" t="str">
        <f aca="false">IF(OR(S28="",K28=""),"",S28-K28)</f>
        <v/>
      </c>
      <c r="S28" s="30" t="str">
        <f aca="false">IF(OR(Q28="",L28=""),"",Q28*L28)</f>
        <v/>
      </c>
      <c r="T28" s="29" t="str">
        <f aca="false">IF(A28="","",SUMIFS(REPAYMENTS!$F$5:$F$104,REPAYMENTS!$C$5:$C$104,A28))</f>
        <v/>
      </c>
      <c r="U28" s="30" t="str">
        <f aca="false">IF(OR(S28="",T28=""),"",MAX(0,S28-T28))</f>
        <v/>
      </c>
      <c r="V28" s="34" t="str">
        <f aca="true">IF(OR(O28="",L28=""),"",IF(TODAY()&lt;O28,0,MIN(L28,DATEDIF(O28,TODAY(),"m")+1)))</f>
        <v/>
      </c>
      <c r="W28" s="30" t="str">
        <f aca="false">IF(OR(V28="",Q28="",T28=""),"",MAX(0,V28*Q28-T28))</f>
        <v/>
      </c>
      <c r="X28" s="39" t="str">
        <f aca="true">IF(OR(W28="",V28=""),"",IF(OR(W28&lt;=0,Z28="Fully Paid",Z28="Written Off"),0,TODAY()-EDATE(O28,V28-1)))</f>
        <v/>
      </c>
      <c r="Y28" s="34" t="str">
        <f aca="false">IF(A28="","",IF(Z28="Written Off","Written Off",IF(OR(X28="",X28=0),"Current",IF(X28&lt;=30,"1-30 Days",IF(X28&lt;=60,"31-60 Days",IF(X28&lt;=90,"61-90 Days","90+ Days (PAR90)"))))))</f>
        <v/>
      </c>
      <c r="Z28" s="29"/>
      <c r="AA28" s="29"/>
      <c r="AB28" s="29"/>
      <c r="AC28" s="29"/>
    </row>
    <row r="29" customFormat="false" ht="15" hidden="false" customHeight="false" outlineLevel="0" collapsed="false">
      <c r="A29" s="29"/>
      <c r="B29" s="29"/>
      <c r="C29" s="29"/>
      <c r="D29" s="29"/>
      <c r="E29" s="29"/>
      <c r="F29" s="29"/>
      <c r="G29" s="34" t="str">
        <f aca="false">IFERROR(IF(F29="","",INDEX(PRODUCTS!$D$6:$D$17,MATCH(F29,PRODUCTS!$B$6:$B$17,0))),"Product not found")</f>
        <v/>
      </c>
      <c r="H29" s="34" t="str">
        <f aca="false">IFERROR(IF(F29="","",INDEX(PRODUCTS!$C$6:$C$17,MATCH(F29,PRODUCTS!$B$6:$B$17,0))),"Product not found")</f>
        <v/>
      </c>
      <c r="I29" s="29"/>
      <c r="J29" s="34"/>
      <c r="K29" s="30"/>
      <c r="L29" s="34"/>
      <c r="M29" s="29"/>
      <c r="N29" s="33"/>
      <c r="O29" s="33"/>
      <c r="P29" s="33" t="str">
        <f aca="false">IF(OR(N29="",L29=""),"",EDATE(N29,L29))</f>
        <v/>
      </c>
      <c r="Q29" s="38" t="str">
        <f aca="false">IF(OR(K29="",J29="",L29="",L29=0),"",IF(I29="Flat Rate",(K29+K29*J29/100*L29/12)/L29,PMT(J29/1200,L29,-K29)))</f>
        <v/>
      </c>
      <c r="R29" s="30" t="str">
        <f aca="false">IF(OR(S29="",K29=""),"",S29-K29)</f>
        <v/>
      </c>
      <c r="S29" s="30" t="str">
        <f aca="false">IF(OR(Q29="",L29=""),"",Q29*L29)</f>
        <v/>
      </c>
      <c r="T29" s="29" t="str">
        <f aca="false">IF(A29="","",SUMIFS(REPAYMENTS!$F$5:$F$104,REPAYMENTS!$C$5:$C$104,A29))</f>
        <v/>
      </c>
      <c r="U29" s="30" t="str">
        <f aca="false">IF(OR(S29="",T29=""),"",MAX(0,S29-T29))</f>
        <v/>
      </c>
      <c r="V29" s="34" t="str">
        <f aca="true">IF(OR(O29="",L29=""),"",IF(TODAY()&lt;O29,0,MIN(L29,DATEDIF(O29,TODAY(),"m")+1)))</f>
        <v/>
      </c>
      <c r="W29" s="30" t="str">
        <f aca="false">IF(OR(V29="",Q29="",T29=""),"",MAX(0,V29*Q29-T29))</f>
        <v/>
      </c>
      <c r="X29" s="39" t="str">
        <f aca="true">IF(OR(W29="",V29=""),"",IF(OR(W29&lt;=0,Z29="Fully Paid",Z29="Written Off"),0,TODAY()-EDATE(O29,V29-1)))</f>
        <v/>
      </c>
      <c r="Y29" s="34" t="str">
        <f aca="false">IF(A29="","",IF(Z29="Written Off","Written Off",IF(OR(X29="",X29=0),"Current",IF(X29&lt;=30,"1-30 Days",IF(X29&lt;=60,"31-60 Days",IF(X29&lt;=90,"61-90 Days","90+ Days (PAR90)"))))))</f>
        <v/>
      </c>
      <c r="Z29" s="29"/>
      <c r="AA29" s="29"/>
      <c r="AB29" s="29"/>
      <c r="AC29" s="29"/>
    </row>
    <row r="30" customFormat="false" ht="15" hidden="false" customHeight="false" outlineLevel="0" collapsed="false">
      <c r="A30" s="29"/>
      <c r="B30" s="29"/>
      <c r="C30" s="29"/>
      <c r="D30" s="29"/>
      <c r="E30" s="29"/>
      <c r="F30" s="29"/>
      <c r="G30" s="34" t="str">
        <f aca="false">IFERROR(IF(F30="","",INDEX(PRODUCTS!$D$6:$D$17,MATCH(F30,PRODUCTS!$B$6:$B$17,0))),"Product not found")</f>
        <v/>
      </c>
      <c r="H30" s="34" t="str">
        <f aca="false">IFERROR(IF(F30="","",INDEX(PRODUCTS!$C$6:$C$17,MATCH(F30,PRODUCTS!$B$6:$B$17,0))),"Product not found")</f>
        <v/>
      </c>
      <c r="I30" s="29"/>
      <c r="J30" s="34"/>
      <c r="K30" s="30"/>
      <c r="L30" s="34"/>
      <c r="M30" s="29"/>
      <c r="N30" s="33"/>
      <c r="O30" s="33"/>
      <c r="P30" s="33" t="str">
        <f aca="false">IF(OR(N30="",L30=""),"",EDATE(N30,L30))</f>
        <v/>
      </c>
      <c r="Q30" s="38" t="str">
        <f aca="false">IF(OR(K30="",J30="",L30="",L30=0),"",IF(I30="Flat Rate",(K30+K30*J30/100*L30/12)/L30,PMT(J30/1200,L30,-K30)))</f>
        <v/>
      </c>
      <c r="R30" s="30" t="str">
        <f aca="false">IF(OR(S30="",K30=""),"",S30-K30)</f>
        <v/>
      </c>
      <c r="S30" s="30" t="str">
        <f aca="false">IF(OR(Q30="",L30=""),"",Q30*L30)</f>
        <v/>
      </c>
      <c r="T30" s="29" t="str">
        <f aca="false">IF(A30="","",SUMIFS(REPAYMENTS!$F$5:$F$104,REPAYMENTS!$C$5:$C$104,A30))</f>
        <v/>
      </c>
      <c r="U30" s="30" t="str">
        <f aca="false">IF(OR(S30="",T30=""),"",MAX(0,S30-T30))</f>
        <v/>
      </c>
      <c r="V30" s="34" t="str">
        <f aca="true">IF(OR(O30="",L30=""),"",IF(TODAY()&lt;O30,0,MIN(L30,DATEDIF(O30,TODAY(),"m")+1)))</f>
        <v/>
      </c>
      <c r="W30" s="30" t="str">
        <f aca="false">IF(OR(V30="",Q30="",T30=""),"",MAX(0,V30*Q30-T30))</f>
        <v/>
      </c>
      <c r="X30" s="39" t="str">
        <f aca="true">IF(OR(W30="",V30=""),"",IF(OR(W30&lt;=0,Z30="Fully Paid",Z30="Written Off"),0,TODAY()-EDATE(O30,V30-1)))</f>
        <v/>
      </c>
      <c r="Y30" s="34" t="str">
        <f aca="false">IF(A30="","",IF(Z30="Written Off","Written Off",IF(OR(X30="",X30=0),"Current",IF(X30&lt;=30,"1-30 Days",IF(X30&lt;=60,"31-60 Days",IF(X30&lt;=90,"61-90 Days","90+ Days (PAR90)"))))))</f>
        <v/>
      </c>
      <c r="Z30" s="29"/>
      <c r="AA30" s="29"/>
      <c r="AB30" s="29"/>
      <c r="AC30" s="29"/>
    </row>
    <row r="31" customFormat="false" ht="15" hidden="false" customHeight="false" outlineLevel="0" collapsed="false">
      <c r="A31" s="29"/>
      <c r="B31" s="29"/>
      <c r="C31" s="29"/>
      <c r="D31" s="29"/>
      <c r="E31" s="29"/>
      <c r="F31" s="29"/>
      <c r="G31" s="34" t="str">
        <f aca="false">IFERROR(IF(F31="","",INDEX(PRODUCTS!$D$6:$D$17,MATCH(F31,PRODUCTS!$B$6:$B$17,0))),"Product not found")</f>
        <v/>
      </c>
      <c r="H31" s="34" t="str">
        <f aca="false">IFERROR(IF(F31="","",INDEX(PRODUCTS!$C$6:$C$17,MATCH(F31,PRODUCTS!$B$6:$B$17,0))),"Product not found")</f>
        <v/>
      </c>
      <c r="I31" s="29"/>
      <c r="J31" s="34"/>
      <c r="K31" s="30"/>
      <c r="L31" s="34"/>
      <c r="M31" s="29"/>
      <c r="N31" s="33"/>
      <c r="O31" s="33"/>
      <c r="P31" s="33" t="str">
        <f aca="false">IF(OR(N31="",L31=""),"",EDATE(N31,L31))</f>
        <v/>
      </c>
      <c r="Q31" s="38" t="str">
        <f aca="false">IF(OR(K31="",J31="",L31="",L31=0),"",IF(I31="Flat Rate",(K31+K31*J31/100*L31/12)/L31,PMT(J31/1200,L31,-K31)))</f>
        <v/>
      </c>
      <c r="R31" s="30" t="str">
        <f aca="false">IF(OR(S31="",K31=""),"",S31-K31)</f>
        <v/>
      </c>
      <c r="S31" s="30" t="str">
        <f aca="false">IF(OR(Q31="",L31=""),"",Q31*L31)</f>
        <v/>
      </c>
      <c r="T31" s="29" t="str">
        <f aca="false">IF(A31="","",SUMIFS(REPAYMENTS!$F$5:$F$104,REPAYMENTS!$C$5:$C$104,A31))</f>
        <v/>
      </c>
      <c r="U31" s="30" t="str">
        <f aca="false">IF(OR(S31="",T31=""),"",MAX(0,S31-T31))</f>
        <v/>
      </c>
      <c r="V31" s="34" t="str">
        <f aca="true">IF(OR(O31="",L31=""),"",IF(TODAY()&lt;O31,0,MIN(L31,DATEDIF(O31,TODAY(),"m")+1)))</f>
        <v/>
      </c>
      <c r="W31" s="30" t="str">
        <f aca="false">IF(OR(V31="",Q31="",T31=""),"",MAX(0,V31*Q31-T31))</f>
        <v/>
      </c>
      <c r="X31" s="39" t="str">
        <f aca="true">IF(OR(W31="",V31=""),"",IF(OR(W31&lt;=0,Z31="Fully Paid",Z31="Written Off"),0,TODAY()-EDATE(O31,V31-1)))</f>
        <v/>
      </c>
      <c r="Y31" s="34" t="str">
        <f aca="false">IF(A31="","",IF(Z31="Written Off","Written Off",IF(OR(X31="",X31=0),"Current",IF(X31&lt;=30,"1-30 Days",IF(X31&lt;=60,"31-60 Days",IF(X31&lt;=90,"61-90 Days","90+ Days (PAR90)"))))))</f>
        <v/>
      </c>
      <c r="Z31" s="29"/>
      <c r="AA31" s="29"/>
      <c r="AB31" s="29"/>
      <c r="AC31" s="29"/>
    </row>
    <row r="32" customFormat="false" ht="15" hidden="false" customHeight="false" outlineLevel="0" collapsed="false">
      <c r="A32" s="29"/>
      <c r="B32" s="29"/>
      <c r="C32" s="29"/>
      <c r="D32" s="29"/>
      <c r="E32" s="29"/>
      <c r="F32" s="29"/>
      <c r="G32" s="34" t="str">
        <f aca="false">IFERROR(IF(F32="","",INDEX(PRODUCTS!$D$6:$D$17,MATCH(F32,PRODUCTS!$B$6:$B$17,0))),"Product not found")</f>
        <v/>
      </c>
      <c r="H32" s="34" t="str">
        <f aca="false">IFERROR(IF(F32="","",INDEX(PRODUCTS!$C$6:$C$17,MATCH(F32,PRODUCTS!$B$6:$B$17,0))),"Product not found")</f>
        <v/>
      </c>
      <c r="I32" s="29"/>
      <c r="J32" s="34"/>
      <c r="K32" s="30"/>
      <c r="L32" s="34"/>
      <c r="M32" s="29"/>
      <c r="N32" s="33"/>
      <c r="O32" s="33"/>
      <c r="P32" s="33" t="str">
        <f aca="false">IF(OR(N32="",L32=""),"",EDATE(N32,L32))</f>
        <v/>
      </c>
      <c r="Q32" s="38" t="str">
        <f aca="false">IF(OR(K32="",J32="",L32="",L32=0),"",IF(I32="Flat Rate",(K32+K32*J32/100*L32/12)/L32,PMT(J32/1200,L32,-K32)))</f>
        <v/>
      </c>
      <c r="R32" s="30" t="str">
        <f aca="false">IF(OR(S32="",K32=""),"",S32-K32)</f>
        <v/>
      </c>
      <c r="S32" s="30" t="str">
        <f aca="false">IF(OR(Q32="",L32=""),"",Q32*L32)</f>
        <v/>
      </c>
      <c r="T32" s="29" t="str">
        <f aca="false">IF(A32="","",SUMIFS(REPAYMENTS!$F$5:$F$104,REPAYMENTS!$C$5:$C$104,A32))</f>
        <v/>
      </c>
      <c r="U32" s="30" t="str">
        <f aca="false">IF(OR(S32="",T32=""),"",MAX(0,S32-T32))</f>
        <v/>
      </c>
      <c r="V32" s="34" t="str">
        <f aca="true">IF(OR(O32="",L32=""),"",IF(TODAY()&lt;O32,0,MIN(L32,DATEDIF(O32,TODAY(),"m")+1)))</f>
        <v/>
      </c>
      <c r="W32" s="30" t="str">
        <f aca="false">IF(OR(V32="",Q32="",T32=""),"",MAX(0,V32*Q32-T32))</f>
        <v/>
      </c>
      <c r="X32" s="39" t="str">
        <f aca="true">IF(OR(W32="",V32=""),"",IF(OR(W32&lt;=0,Z32="Fully Paid",Z32="Written Off"),0,TODAY()-EDATE(O32,V32-1)))</f>
        <v/>
      </c>
      <c r="Y32" s="34" t="str">
        <f aca="false">IF(A32="","",IF(Z32="Written Off","Written Off",IF(OR(X32="",X32=0),"Current",IF(X32&lt;=30,"1-30 Days",IF(X32&lt;=60,"31-60 Days",IF(X32&lt;=90,"61-90 Days","90+ Days (PAR90)"))))))</f>
        <v/>
      </c>
      <c r="Z32" s="29"/>
      <c r="AA32" s="29"/>
      <c r="AB32" s="29"/>
      <c r="AC32" s="29"/>
    </row>
    <row r="33" customFormat="false" ht="15" hidden="false" customHeight="false" outlineLevel="0" collapsed="false">
      <c r="A33" s="29"/>
      <c r="B33" s="29"/>
      <c r="C33" s="29"/>
      <c r="D33" s="29"/>
      <c r="E33" s="29"/>
      <c r="F33" s="29"/>
      <c r="G33" s="34" t="str">
        <f aca="false">IFERROR(IF(F33="","",INDEX(PRODUCTS!$D$6:$D$17,MATCH(F33,PRODUCTS!$B$6:$B$17,0))),"Product not found")</f>
        <v/>
      </c>
      <c r="H33" s="34" t="str">
        <f aca="false">IFERROR(IF(F33="","",INDEX(PRODUCTS!$C$6:$C$17,MATCH(F33,PRODUCTS!$B$6:$B$17,0))),"Product not found")</f>
        <v/>
      </c>
      <c r="I33" s="29"/>
      <c r="J33" s="34"/>
      <c r="K33" s="30"/>
      <c r="L33" s="34"/>
      <c r="M33" s="29"/>
      <c r="N33" s="33"/>
      <c r="O33" s="33"/>
      <c r="P33" s="33" t="str">
        <f aca="false">IF(OR(N33="",L33=""),"",EDATE(N33,L33))</f>
        <v/>
      </c>
      <c r="Q33" s="38" t="str">
        <f aca="false">IF(OR(K33="",J33="",L33="",L33=0),"",IF(I33="Flat Rate",(K33+K33*J33/100*L33/12)/L33,PMT(J33/1200,L33,-K33)))</f>
        <v/>
      </c>
      <c r="R33" s="30" t="str">
        <f aca="false">IF(OR(S33="",K33=""),"",S33-K33)</f>
        <v/>
      </c>
      <c r="S33" s="30" t="str">
        <f aca="false">IF(OR(Q33="",L33=""),"",Q33*L33)</f>
        <v/>
      </c>
      <c r="T33" s="29" t="str">
        <f aca="false">IF(A33="","",SUMIFS(REPAYMENTS!$F$5:$F$104,REPAYMENTS!$C$5:$C$104,A33))</f>
        <v/>
      </c>
      <c r="U33" s="30" t="str">
        <f aca="false">IF(OR(S33="",T33=""),"",MAX(0,S33-T33))</f>
        <v/>
      </c>
      <c r="V33" s="34" t="str">
        <f aca="true">IF(OR(O33="",L33=""),"",IF(TODAY()&lt;O33,0,MIN(L33,DATEDIF(O33,TODAY(),"m")+1)))</f>
        <v/>
      </c>
      <c r="W33" s="30" t="str">
        <f aca="false">IF(OR(V33="",Q33="",T33=""),"",MAX(0,V33*Q33-T33))</f>
        <v/>
      </c>
      <c r="X33" s="39" t="str">
        <f aca="true">IF(OR(W33="",V33=""),"",IF(OR(W33&lt;=0,Z33="Fully Paid",Z33="Written Off"),0,TODAY()-EDATE(O33,V33-1)))</f>
        <v/>
      </c>
      <c r="Y33" s="34" t="str">
        <f aca="false">IF(A33="","",IF(Z33="Written Off","Written Off",IF(OR(X33="",X33=0),"Current",IF(X33&lt;=30,"1-30 Days",IF(X33&lt;=60,"31-60 Days",IF(X33&lt;=90,"61-90 Days","90+ Days (PAR90)"))))))</f>
        <v/>
      </c>
      <c r="Z33" s="29"/>
      <c r="AA33" s="29"/>
      <c r="AB33" s="29"/>
      <c r="AC33" s="29"/>
    </row>
    <row r="34" customFormat="false" ht="15" hidden="false" customHeight="false" outlineLevel="0" collapsed="false">
      <c r="A34" s="29"/>
      <c r="B34" s="29"/>
      <c r="C34" s="29"/>
      <c r="D34" s="29"/>
      <c r="E34" s="29"/>
      <c r="F34" s="29"/>
      <c r="G34" s="34" t="str">
        <f aca="false">IFERROR(IF(F34="","",INDEX(PRODUCTS!$D$6:$D$17,MATCH(F34,PRODUCTS!$B$6:$B$17,0))),"Product not found")</f>
        <v/>
      </c>
      <c r="H34" s="34" t="str">
        <f aca="false">IFERROR(IF(F34="","",INDEX(PRODUCTS!$C$6:$C$17,MATCH(F34,PRODUCTS!$B$6:$B$17,0))),"Product not found")</f>
        <v/>
      </c>
      <c r="I34" s="29"/>
      <c r="J34" s="34"/>
      <c r="K34" s="30"/>
      <c r="L34" s="34"/>
      <c r="M34" s="29"/>
      <c r="N34" s="33"/>
      <c r="O34" s="33"/>
      <c r="P34" s="33" t="str">
        <f aca="false">IF(OR(N34="",L34=""),"",EDATE(N34,L34))</f>
        <v/>
      </c>
      <c r="Q34" s="38" t="str">
        <f aca="false">IF(OR(K34="",J34="",L34="",L34=0),"",IF(I34="Flat Rate",(K34+K34*J34/100*L34/12)/L34,PMT(J34/1200,L34,-K34)))</f>
        <v/>
      </c>
      <c r="R34" s="30" t="str">
        <f aca="false">IF(OR(S34="",K34=""),"",S34-K34)</f>
        <v/>
      </c>
      <c r="S34" s="30" t="str">
        <f aca="false">IF(OR(Q34="",L34=""),"",Q34*L34)</f>
        <v/>
      </c>
      <c r="T34" s="29" t="str">
        <f aca="false">IF(A34="","",SUMIFS(REPAYMENTS!$F$5:$F$104,REPAYMENTS!$C$5:$C$104,A34))</f>
        <v/>
      </c>
      <c r="U34" s="30" t="str">
        <f aca="false">IF(OR(S34="",T34=""),"",MAX(0,S34-T34))</f>
        <v/>
      </c>
      <c r="V34" s="34" t="str">
        <f aca="true">IF(OR(O34="",L34=""),"",IF(TODAY()&lt;O34,0,MIN(L34,DATEDIF(O34,TODAY(),"m")+1)))</f>
        <v/>
      </c>
      <c r="W34" s="30" t="str">
        <f aca="false">IF(OR(V34="",Q34="",T34=""),"",MAX(0,V34*Q34-T34))</f>
        <v/>
      </c>
      <c r="X34" s="39" t="str">
        <f aca="true">IF(OR(W34="",V34=""),"",IF(OR(W34&lt;=0,Z34="Fully Paid",Z34="Written Off"),0,TODAY()-EDATE(O34,V34-1)))</f>
        <v/>
      </c>
      <c r="Y34" s="34" t="str">
        <f aca="false">IF(A34="","",IF(Z34="Written Off","Written Off",IF(OR(X34="",X34=0),"Current",IF(X34&lt;=30,"1-30 Days",IF(X34&lt;=60,"31-60 Days",IF(X34&lt;=90,"61-90 Days","90+ Days (PAR90)"))))))</f>
        <v/>
      </c>
      <c r="Z34" s="29"/>
      <c r="AA34" s="29"/>
      <c r="AB34" s="29"/>
      <c r="AC34" s="29"/>
    </row>
    <row r="35" customFormat="false" ht="15" hidden="false" customHeight="false" outlineLevel="0" collapsed="false">
      <c r="A35" s="29"/>
      <c r="B35" s="29"/>
      <c r="C35" s="29"/>
      <c r="D35" s="29"/>
      <c r="E35" s="29"/>
      <c r="F35" s="29"/>
      <c r="G35" s="34" t="str">
        <f aca="false">IFERROR(IF(F35="","",INDEX(PRODUCTS!$D$6:$D$17,MATCH(F35,PRODUCTS!$B$6:$B$17,0))),"Product not found")</f>
        <v/>
      </c>
      <c r="H35" s="34" t="str">
        <f aca="false">IFERROR(IF(F35="","",INDEX(PRODUCTS!$C$6:$C$17,MATCH(F35,PRODUCTS!$B$6:$B$17,0))),"Product not found")</f>
        <v/>
      </c>
      <c r="I35" s="29"/>
      <c r="J35" s="34"/>
      <c r="K35" s="30"/>
      <c r="L35" s="34"/>
      <c r="M35" s="29"/>
      <c r="N35" s="33"/>
      <c r="O35" s="33"/>
      <c r="P35" s="33" t="str">
        <f aca="false">IF(OR(N35="",L35=""),"",EDATE(N35,L35))</f>
        <v/>
      </c>
      <c r="Q35" s="38" t="str">
        <f aca="false">IF(OR(K35="",J35="",L35="",L35=0),"",IF(I35="Flat Rate",(K35+K35*J35/100*L35/12)/L35,PMT(J35/1200,L35,-K35)))</f>
        <v/>
      </c>
      <c r="R35" s="30" t="str">
        <f aca="false">IF(OR(S35="",K35=""),"",S35-K35)</f>
        <v/>
      </c>
      <c r="S35" s="30" t="str">
        <f aca="false">IF(OR(Q35="",L35=""),"",Q35*L35)</f>
        <v/>
      </c>
      <c r="T35" s="29" t="str">
        <f aca="false">IF(A35="","",SUMIFS(REPAYMENTS!$F$5:$F$104,REPAYMENTS!$C$5:$C$104,A35))</f>
        <v/>
      </c>
      <c r="U35" s="30" t="str">
        <f aca="false">IF(OR(S35="",T35=""),"",MAX(0,S35-T35))</f>
        <v/>
      </c>
      <c r="V35" s="34" t="str">
        <f aca="true">IF(OR(O35="",L35=""),"",IF(TODAY()&lt;O35,0,MIN(L35,DATEDIF(O35,TODAY(),"m")+1)))</f>
        <v/>
      </c>
      <c r="W35" s="30" t="str">
        <f aca="false">IF(OR(V35="",Q35="",T35=""),"",MAX(0,V35*Q35-T35))</f>
        <v/>
      </c>
      <c r="X35" s="39" t="str">
        <f aca="true">IF(OR(W35="",V35=""),"",IF(OR(W35&lt;=0,Z35="Fully Paid",Z35="Written Off"),0,TODAY()-EDATE(O35,V35-1)))</f>
        <v/>
      </c>
      <c r="Y35" s="34" t="str">
        <f aca="false">IF(A35="","",IF(Z35="Written Off","Written Off",IF(OR(X35="",X35=0),"Current",IF(X35&lt;=30,"1-30 Days",IF(X35&lt;=60,"31-60 Days",IF(X35&lt;=90,"61-90 Days","90+ Days (PAR90)"))))))</f>
        <v/>
      </c>
      <c r="Z35" s="29"/>
      <c r="AA35" s="29"/>
      <c r="AB35" s="29"/>
      <c r="AC35" s="29"/>
    </row>
    <row r="36" customFormat="false" ht="15" hidden="false" customHeight="false" outlineLevel="0" collapsed="false">
      <c r="A36" s="29"/>
      <c r="B36" s="29"/>
      <c r="C36" s="29"/>
      <c r="D36" s="29"/>
      <c r="E36" s="29"/>
      <c r="F36" s="29"/>
      <c r="G36" s="34" t="str">
        <f aca="false">IFERROR(IF(F36="","",INDEX(PRODUCTS!$D$6:$D$17,MATCH(F36,PRODUCTS!$B$6:$B$17,0))),"Product not found")</f>
        <v/>
      </c>
      <c r="H36" s="34" t="str">
        <f aca="false">IFERROR(IF(F36="","",INDEX(PRODUCTS!$C$6:$C$17,MATCH(F36,PRODUCTS!$B$6:$B$17,0))),"Product not found")</f>
        <v/>
      </c>
      <c r="I36" s="29"/>
      <c r="J36" s="34"/>
      <c r="K36" s="30"/>
      <c r="L36" s="34"/>
      <c r="M36" s="29"/>
      <c r="N36" s="33"/>
      <c r="O36" s="33"/>
      <c r="P36" s="33" t="str">
        <f aca="false">IF(OR(N36="",L36=""),"",EDATE(N36,L36))</f>
        <v/>
      </c>
      <c r="Q36" s="38" t="str">
        <f aca="false">IF(OR(K36="",J36="",L36="",L36=0),"",IF(I36="Flat Rate",(K36+K36*J36/100*L36/12)/L36,PMT(J36/1200,L36,-K36)))</f>
        <v/>
      </c>
      <c r="R36" s="30" t="str">
        <f aca="false">IF(OR(S36="",K36=""),"",S36-K36)</f>
        <v/>
      </c>
      <c r="S36" s="30" t="str">
        <f aca="false">IF(OR(Q36="",L36=""),"",Q36*L36)</f>
        <v/>
      </c>
      <c r="T36" s="29" t="str">
        <f aca="false">IF(A36="","",SUMIFS(REPAYMENTS!$F$5:$F$104,REPAYMENTS!$C$5:$C$104,A36))</f>
        <v/>
      </c>
      <c r="U36" s="30" t="str">
        <f aca="false">IF(OR(S36="",T36=""),"",MAX(0,S36-T36))</f>
        <v/>
      </c>
      <c r="V36" s="34" t="str">
        <f aca="true">IF(OR(O36="",L36=""),"",IF(TODAY()&lt;O36,0,MIN(L36,DATEDIF(O36,TODAY(),"m")+1)))</f>
        <v/>
      </c>
      <c r="W36" s="30" t="str">
        <f aca="false">IF(OR(V36="",Q36="",T36=""),"",MAX(0,V36*Q36-T36))</f>
        <v/>
      </c>
      <c r="X36" s="39" t="str">
        <f aca="true">IF(OR(W36="",V36=""),"",IF(OR(W36&lt;=0,Z36="Fully Paid",Z36="Written Off"),0,TODAY()-EDATE(O36,V36-1)))</f>
        <v/>
      </c>
      <c r="Y36" s="34" t="str">
        <f aca="false">IF(A36="","",IF(Z36="Written Off","Written Off",IF(OR(X36="",X36=0),"Current",IF(X36&lt;=30,"1-30 Days",IF(X36&lt;=60,"31-60 Days",IF(X36&lt;=90,"61-90 Days","90+ Days (PAR90)"))))))</f>
        <v/>
      </c>
      <c r="Z36" s="29"/>
      <c r="AA36" s="29"/>
      <c r="AB36" s="29"/>
      <c r="AC36" s="29"/>
    </row>
    <row r="37" customFormat="false" ht="15" hidden="false" customHeight="false" outlineLevel="0" collapsed="false">
      <c r="A37" s="29"/>
      <c r="B37" s="29"/>
      <c r="C37" s="29"/>
      <c r="D37" s="29"/>
      <c r="E37" s="29"/>
      <c r="F37" s="29"/>
      <c r="G37" s="34" t="str">
        <f aca="false">IFERROR(IF(F37="","",INDEX(PRODUCTS!$D$6:$D$17,MATCH(F37,PRODUCTS!$B$6:$B$17,0))),"Product not found")</f>
        <v/>
      </c>
      <c r="H37" s="34" t="str">
        <f aca="false">IFERROR(IF(F37="","",INDEX(PRODUCTS!$C$6:$C$17,MATCH(F37,PRODUCTS!$B$6:$B$17,0))),"Product not found")</f>
        <v/>
      </c>
      <c r="I37" s="29"/>
      <c r="J37" s="34"/>
      <c r="K37" s="30"/>
      <c r="L37" s="34"/>
      <c r="M37" s="29"/>
      <c r="N37" s="33"/>
      <c r="O37" s="33"/>
      <c r="P37" s="33" t="str">
        <f aca="false">IF(OR(N37="",L37=""),"",EDATE(N37,L37))</f>
        <v/>
      </c>
      <c r="Q37" s="38" t="str">
        <f aca="false">IF(OR(K37="",J37="",L37="",L37=0),"",IF(I37="Flat Rate",(K37+K37*J37/100*L37/12)/L37,PMT(J37/1200,L37,-K37)))</f>
        <v/>
      </c>
      <c r="R37" s="30" t="str">
        <f aca="false">IF(OR(S37="",K37=""),"",S37-K37)</f>
        <v/>
      </c>
      <c r="S37" s="30" t="str">
        <f aca="false">IF(OR(Q37="",L37=""),"",Q37*L37)</f>
        <v/>
      </c>
      <c r="T37" s="29" t="str">
        <f aca="false">IF(A37="","",SUMIFS(REPAYMENTS!$F$5:$F$104,REPAYMENTS!$C$5:$C$104,A37))</f>
        <v/>
      </c>
      <c r="U37" s="30" t="str">
        <f aca="false">IF(OR(S37="",T37=""),"",MAX(0,S37-T37))</f>
        <v/>
      </c>
      <c r="V37" s="34" t="str">
        <f aca="true">IF(OR(O37="",L37=""),"",IF(TODAY()&lt;O37,0,MIN(L37,DATEDIF(O37,TODAY(),"m")+1)))</f>
        <v/>
      </c>
      <c r="W37" s="30" t="str">
        <f aca="false">IF(OR(V37="",Q37="",T37=""),"",MAX(0,V37*Q37-T37))</f>
        <v/>
      </c>
      <c r="X37" s="39" t="str">
        <f aca="true">IF(OR(W37="",V37=""),"",IF(OR(W37&lt;=0,Z37="Fully Paid",Z37="Written Off"),0,TODAY()-EDATE(O37,V37-1)))</f>
        <v/>
      </c>
      <c r="Y37" s="34" t="str">
        <f aca="false">IF(A37="","",IF(Z37="Written Off","Written Off",IF(OR(X37="",X37=0),"Current",IF(X37&lt;=30,"1-30 Days",IF(X37&lt;=60,"31-60 Days",IF(X37&lt;=90,"61-90 Days","90+ Days (PAR90)"))))))</f>
        <v/>
      </c>
      <c r="Z37" s="29"/>
      <c r="AA37" s="29"/>
      <c r="AB37" s="29"/>
      <c r="AC37" s="29"/>
    </row>
    <row r="38" customFormat="false" ht="15" hidden="false" customHeight="false" outlineLevel="0" collapsed="false">
      <c r="A38" s="29"/>
      <c r="B38" s="29"/>
      <c r="C38" s="29"/>
      <c r="D38" s="29"/>
      <c r="E38" s="29"/>
      <c r="F38" s="29"/>
      <c r="G38" s="34" t="str">
        <f aca="false">IFERROR(IF(F38="","",INDEX(PRODUCTS!$D$6:$D$17,MATCH(F38,PRODUCTS!$B$6:$B$17,0))),"Product not found")</f>
        <v/>
      </c>
      <c r="H38" s="34" t="str">
        <f aca="false">IFERROR(IF(F38="","",INDEX(PRODUCTS!$C$6:$C$17,MATCH(F38,PRODUCTS!$B$6:$B$17,0))),"Product not found")</f>
        <v/>
      </c>
      <c r="I38" s="29"/>
      <c r="J38" s="34"/>
      <c r="K38" s="30"/>
      <c r="L38" s="34"/>
      <c r="M38" s="29"/>
      <c r="N38" s="33"/>
      <c r="O38" s="33"/>
      <c r="P38" s="33" t="str">
        <f aca="false">IF(OR(N38="",L38=""),"",EDATE(N38,L38))</f>
        <v/>
      </c>
      <c r="Q38" s="38" t="str">
        <f aca="false">IF(OR(K38="",J38="",L38="",L38=0),"",IF(I38="Flat Rate",(K38+K38*J38/100*L38/12)/L38,PMT(J38/1200,L38,-K38)))</f>
        <v/>
      </c>
      <c r="R38" s="30" t="str">
        <f aca="false">IF(OR(S38="",K38=""),"",S38-K38)</f>
        <v/>
      </c>
      <c r="S38" s="30" t="str">
        <f aca="false">IF(OR(Q38="",L38=""),"",Q38*L38)</f>
        <v/>
      </c>
      <c r="T38" s="29" t="str">
        <f aca="false">IF(A38="","",SUMIFS(REPAYMENTS!$F$5:$F$104,REPAYMENTS!$C$5:$C$104,A38))</f>
        <v/>
      </c>
      <c r="U38" s="30" t="str">
        <f aca="false">IF(OR(S38="",T38=""),"",MAX(0,S38-T38))</f>
        <v/>
      </c>
      <c r="V38" s="34" t="str">
        <f aca="true">IF(OR(O38="",L38=""),"",IF(TODAY()&lt;O38,0,MIN(L38,DATEDIF(O38,TODAY(),"m")+1)))</f>
        <v/>
      </c>
      <c r="W38" s="30" t="str">
        <f aca="false">IF(OR(V38="",Q38="",T38=""),"",MAX(0,V38*Q38-T38))</f>
        <v/>
      </c>
      <c r="X38" s="39" t="str">
        <f aca="true">IF(OR(W38="",V38=""),"",IF(OR(W38&lt;=0,Z38="Fully Paid",Z38="Written Off"),0,TODAY()-EDATE(O38,V38-1)))</f>
        <v/>
      </c>
      <c r="Y38" s="34" t="str">
        <f aca="false">IF(A38="","",IF(Z38="Written Off","Written Off",IF(OR(X38="",X38=0),"Current",IF(X38&lt;=30,"1-30 Days",IF(X38&lt;=60,"31-60 Days",IF(X38&lt;=90,"61-90 Days","90+ Days (PAR90)"))))))</f>
        <v/>
      </c>
      <c r="Z38" s="29"/>
      <c r="AA38" s="29"/>
      <c r="AB38" s="29"/>
      <c r="AC38" s="29"/>
    </row>
    <row r="39" customFormat="false" ht="15" hidden="false" customHeight="false" outlineLevel="0" collapsed="false">
      <c r="A39" s="29"/>
      <c r="B39" s="29"/>
      <c r="C39" s="29"/>
      <c r="D39" s="29"/>
      <c r="E39" s="29"/>
      <c r="F39" s="29"/>
      <c r="G39" s="34" t="str">
        <f aca="false">IFERROR(IF(F39="","",INDEX(PRODUCTS!$D$6:$D$17,MATCH(F39,PRODUCTS!$B$6:$B$17,0))),"Product not found")</f>
        <v/>
      </c>
      <c r="H39" s="34" t="str">
        <f aca="false">IFERROR(IF(F39="","",INDEX(PRODUCTS!$C$6:$C$17,MATCH(F39,PRODUCTS!$B$6:$B$17,0))),"Product not found")</f>
        <v/>
      </c>
      <c r="I39" s="29"/>
      <c r="J39" s="34"/>
      <c r="K39" s="30"/>
      <c r="L39" s="34"/>
      <c r="M39" s="29"/>
      <c r="N39" s="33"/>
      <c r="O39" s="33"/>
      <c r="P39" s="33" t="str">
        <f aca="false">IF(OR(N39="",L39=""),"",EDATE(N39,L39))</f>
        <v/>
      </c>
      <c r="Q39" s="38" t="str">
        <f aca="false">IF(OR(K39="",J39="",L39="",L39=0),"",IF(I39="Flat Rate",(K39+K39*J39/100*L39/12)/L39,PMT(J39/1200,L39,-K39)))</f>
        <v/>
      </c>
      <c r="R39" s="30" t="str">
        <f aca="false">IF(OR(S39="",K39=""),"",S39-K39)</f>
        <v/>
      </c>
      <c r="S39" s="30" t="str">
        <f aca="false">IF(OR(Q39="",L39=""),"",Q39*L39)</f>
        <v/>
      </c>
      <c r="T39" s="29" t="str">
        <f aca="false">IF(A39="","",SUMIFS(REPAYMENTS!$F$5:$F$104,REPAYMENTS!$C$5:$C$104,A39))</f>
        <v/>
      </c>
      <c r="U39" s="30" t="str">
        <f aca="false">IF(OR(S39="",T39=""),"",MAX(0,S39-T39))</f>
        <v/>
      </c>
      <c r="V39" s="34" t="str">
        <f aca="true">IF(OR(O39="",L39=""),"",IF(TODAY()&lt;O39,0,MIN(L39,DATEDIF(O39,TODAY(),"m")+1)))</f>
        <v/>
      </c>
      <c r="W39" s="30" t="str">
        <f aca="false">IF(OR(V39="",Q39="",T39=""),"",MAX(0,V39*Q39-T39))</f>
        <v/>
      </c>
      <c r="X39" s="39" t="str">
        <f aca="true">IF(OR(W39="",V39=""),"",IF(OR(W39&lt;=0,Z39="Fully Paid",Z39="Written Off"),0,TODAY()-EDATE(O39,V39-1)))</f>
        <v/>
      </c>
      <c r="Y39" s="34" t="str">
        <f aca="false">IF(A39="","",IF(Z39="Written Off","Written Off",IF(OR(X39="",X39=0),"Current",IF(X39&lt;=30,"1-30 Days",IF(X39&lt;=60,"31-60 Days",IF(X39&lt;=90,"61-90 Days","90+ Days (PAR90)"))))))</f>
        <v/>
      </c>
      <c r="Z39" s="29"/>
      <c r="AA39" s="29"/>
      <c r="AB39" s="29"/>
      <c r="AC39" s="29"/>
    </row>
    <row r="40" customFormat="false" ht="15" hidden="false" customHeight="false" outlineLevel="0" collapsed="false">
      <c r="A40" s="29"/>
      <c r="B40" s="29"/>
      <c r="C40" s="29"/>
      <c r="D40" s="29"/>
      <c r="E40" s="29"/>
      <c r="F40" s="29"/>
      <c r="G40" s="34" t="str">
        <f aca="false">IFERROR(IF(F40="","",INDEX(PRODUCTS!$D$6:$D$17,MATCH(F40,PRODUCTS!$B$6:$B$17,0))),"Product not found")</f>
        <v/>
      </c>
      <c r="H40" s="34" t="str">
        <f aca="false">IFERROR(IF(F40="","",INDEX(PRODUCTS!$C$6:$C$17,MATCH(F40,PRODUCTS!$B$6:$B$17,0))),"Product not found")</f>
        <v/>
      </c>
      <c r="I40" s="29"/>
      <c r="J40" s="34"/>
      <c r="K40" s="30"/>
      <c r="L40" s="34"/>
      <c r="M40" s="29"/>
      <c r="N40" s="33"/>
      <c r="O40" s="33"/>
      <c r="P40" s="33" t="str">
        <f aca="false">IF(OR(N40="",L40=""),"",EDATE(N40,L40))</f>
        <v/>
      </c>
      <c r="Q40" s="38" t="str">
        <f aca="false">IF(OR(K40="",J40="",L40="",L40=0),"",IF(I40="Flat Rate",(K40+K40*J40/100*L40/12)/L40,PMT(J40/1200,L40,-K40)))</f>
        <v/>
      </c>
      <c r="R40" s="30" t="str">
        <f aca="false">IF(OR(S40="",K40=""),"",S40-K40)</f>
        <v/>
      </c>
      <c r="S40" s="30" t="str">
        <f aca="false">IF(OR(Q40="",L40=""),"",Q40*L40)</f>
        <v/>
      </c>
      <c r="T40" s="29" t="str">
        <f aca="false">IF(A40="","",SUMIFS(REPAYMENTS!$F$5:$F$104,REPAYMENTS!$C$5:$C$104,A40))</f>
        <v/>
      </c>
      <c r="U40" s="30" t="str">
        <f aca="false">IF(OR(S40="",T40=""),"",MAX(0,S40-T40))</f>
        <v/>
      </c>
      <c r="V40" s="34" t="str">
        <f aca="true">IF(OR(O40="",L40=""),"",IF(TODAY()&lt;O40,0,MIN(L40,DATEDIF(O40,TODAY(),"m")+1)))</f>
        <v/>
      </c>
      <c r="W40" s="30" t="str">
        <f aca="false">IF(OR(V40="",Q40="",T40=""),"",MAX(0,V40*Q40-T40))</f>
        <v/>
      </c>
      <c r="X40" s="39" t="str">
        <f aca="true">IF(OR(W40="",V40=""),"",IF(OR(W40&lt;=0,Z40="Fully Paid",Z40="Written Off"),0,TODAY()-EDATE(O40,V40-1)))</f>
        <v/>
      </c>
      <c r="Y40" s="34" t="str">
        <f aca="false">IF(A40="","",IF(Z40="Written Off","Written Off",IF(OR(X40="",X40=0),"Current",IF(X40&lt;=30,"1-30 Days",IF(X40&lt;=60,"31-60 Days",IF(X40&lt;=90,"61-90 Days","90+ Days (PAR90)"))))))</f>
        <v/>
      </c>
      <c r="Z40" s="29"/>
      <c r="AA40" s="29"/>
      <c r="AB40" s="29"/>
      <c r="AC40" s="29"/>
    </row>
    <row r="41" customFormat="false" ht="15" hidden="false" customHeight="false" outlineLevel="0" collapsed="false">
      <c r="A41" s="29"/>
      <c r="B41" s="29"/>
      <c r="C41" s="29"/>
      <c r="D41" s="29"/>
      <c r="E41" s="29"/>
      <c r="F41" s="29"/>
      <c r="G41" s="34" t="str">
        <f aca="false">IFERROR(IF(F41="","",INDEX(PRODUCTS!$D$6:$D$17,MATCH(F41,PRODUCTS!$B$6:$B$17,0))),"Product not found")</f>
        <v/>
      </c>
      <c r="H41" s="34" t="str">
        <f aca="false">IFERROR(IF(F41="","",INDEX(PRODUCTS!$C$6:$C$17,MATCH(F41,PRODUCTS!$B$6:$B$17,0))),"Product not found")</f>
        <v/>
      </c>
      <c r="I41" s="29"/>
      <c r="J41" s="34"/>
      <c r="K41" s="30"/>
      <c r="L41" s="34"/>
      <c r="M41" s="29"/>
      <c r="N41" s="33"/>
      <c r="O41" s="33"/>
      <c r="P41" s="33" t="str">
        <f aca="false">IF(OR(N41="",L41=""),"",EDATE(N41,L41))</f>
        <v/>
      </c>
      <c r="Q41" s="38" t="str">
        <f aca="false">IF(OR(K41="",J41="",L41="",L41=0),"",IF(I41="Flat Rate",(K41+K41*J41/100*L41/12)/L41,PMT(J41/1200,L41,-K41)))</f>
        <v/>
      </c>
      <c r="R41" s="30" t="str">
        <f aca="false">IF(OR(S41="",K41=""),"",S41-K41)</f>
        <v/>
      </c>
      <c r="S41" s="30" t="str">
        <f aca="false">IF(OR(Q41="",L41=""),"",Q41*L41)</f>
        <v/>
      </c>
      <c r="T41" s="29" t="str">
        <f aca="false">IF(A41="","",SUMIFS(REPAYMENTS!$F$5:$F$104,REPAYMENTS!$C$5:$C$104,A41))</f>
        <v/>
      </c>
      <c r="U41" s="30" t="str">
        <f aca="false">IF(OR(S41="",T41=""),"",MAX(0,S41-T41))</f>
        <v/>
      </c>
      <c r="V41" s="34" t="str">
        <f aca="true">IF(OR(O41="",L41=""),"",IF(TODAY()&lt;O41,0,MIN(L41,DATEDIF(O41,TODAY(),"m")+1)))</f>
        <v/>
      </c>
      <c r="W41" s="30" t="str">
        <f aca="false">IF(OR(V41="",Q41="",T41=""),"",MAX(0,V41*Q41-T41))</f>
        <v/>
      </c>
      <c r="X41" s="39" t="str">
        <f aca="true">IF(OR(W41="",V41=""),"",IF(OR(W41&lt;=0,Z41="Fully Paid",Z41="Written Off"),0,TODAY()-EDATE(O41,V41-1)))</f>
        <v/>
      </c>
      <c r="Y41" s="34" t="str">
        <f aca="false">IF(A41="","",IF(Z41="Written Off","Written Off",IF(OR(X41="",X41=0),"Current",IF(X41&lt;=30,"1-30 Days",IF(X41&lt;=60,"31-60 Days",IF(X41&lt;=90,"61-90 Days","90+ Days (PAR90)"))))))</f>
        <v/>
      </c>
      <c r="Z41" s="29"/>
      <c r="AA41" s="29"/>
      <c r="AB41" s="29"/>
      <c r="AC41" s="29"/>
    </row>
    <row r="42" customFormat="false" ht="15" hidden="false" customHeight="false" outlineLevel="0" collapsed="false">
      <c r="A42" s="29"/>
      <c r="B42" s="29"/>
      <c r="C42" s="29"/>
      <c r="D42" s="29"/>
      <c r="E42" s="29"/>
      <c r="F42" s="29"/>
      <c r="G42" s="34" t="str">
        <f aca="false">IFERROR(IF(F42="","",INDEX(PRODUCTS!$D$6:$D$17,MATCH(F42,PRODUCTS!$B$6:$B$17,0))),"Product not found")</f>
        <v/>
      </c>
      <c r="H42" s="34" t="str">
        <f aca="false">IFERROR(IF(F42="","",INDEX(PRODUCTS!$C$6:$C$17,MATCH(F42,PRODUCTS!$B$6:$B$17,0))),"Product not found")</f>
        <v/>
      </c>
      <c r="I42" s="29"/>
      <c r="J42" s="34"/>
      <c r="K42" s="30"/>
      <c r="L42" s="34"/>
      <c r="M42" s="29"/>
      <c r="N42" s="33"/>
      <c r="O42" s="33"/>
      <c r="P42" s="33" t="str">
        <f aca="false">IF(OR(N42="",L42=""),"",EDATE(N42,L42))</f>
        <v/>
      </c>
      <c r="Q42" s="38" t="str">
        <f aca="false">IF(OR(K42="",J42="",L42="",L42=0),"",IF(I42="Flat Rate",(K42+K42*J42/100*L42/12)/L42,PMT(J42/1200,L42,-K42)))</f>
        <v/>
      </c>
      <c r="R42" s="30" t="str">
        <f aca="false">IF(OR(S42="",K42=""),"",S42-K42)</f>
        <v/>
      </c>
      <c r="S42" s="30" t="str">
        <f aca="false">IF(OR(Q42="",L42=""),"",Q42*L42)</f>
        <v/>
      </c>
      <c r="T42" s="29" t="str">
        <f aca="false">IF(A42="","",SUMIFS(REPAYMENTS!$F$5:$F$104,REPAYMENTS!$C$5:$C$104,A42))</f>
        <v/>
      </c>
      <c r="U42" s="30" t="str">
        <f aca="false">IF(OR(S42="",T42=""),"",MAX(0,S42-T42))</f>
        <v/>
      </c>
      <c r="V42" s="34" t="str">
        <f aca="true">IF(OR(O42="",L42=""),"",IF(TODAY()&lt;O42,0,MIN(L42,DATEDIF(O42,TODAY(),"m")+1)))</f>
        <v/>
      </c>
      <c r="W42" s="30" t="str">
        <f aca="false">IF(OR(V42="",Q42="",T42=""),"",MAX(0,V42*Q42-T42))</f>
        <v/>
      </c>
      <c r="X42" s="39" t="str">
        <f aca="true">IF(OR(W42="",V42=""),"",IF(OR(W42&lt;=0,Z42="Fully Paid",Z42="Written Off"),0,TODAY()-EDATE(O42,V42-1)))</f>
        <v/>
      </c>
      <c r="Y42" s="34" t="str">
        <f aca="false">IF(A42="","",IF(Z42="Written Off","Written Off",IF(OR(X42="",X42=0),"Current",IF(X42&lt;=30,"1-30 Days",IF(X42&lt;=60,"31-60 Days",IF(X42&lt;=90,"61-90 Days","90+ Days (PAR90)"))))))</f>
        <v/>
      </c>
      <c r="Z42" s="29"/>
      <c r="AA42" s="29"/>
      <c r="AB42" s="29"/>
      <c r="AC42" s="29"/>
    </row>
    <row r="43" customFormat="false" ht="15" hidden="false" customHeight="false" outlineLevel="0" collapsed="false">
      <c r="A43" s="29"/>
      <c r="B43" s="29"/>
      <c r="C43" s="29"/>
      <c r="D43" s="29"/>
      <c r="E43" s="29"/>
      <c r="F43" s="29"/>
      <c r="G43" s="34" t="str">
        <f aca="false">IFERROR(IF(F43="","",INDEX(PRODUCTS!$D$6:$D$17,MATCH(F43,PRODUCTS!$B$6:$B$17,0))),"Product not found")</f>
        <v/>
      </c>
      <c r="H43" s="34" t="str">
        <f aca="false">IFERROR(IF(F43="","",INDEX(PRODUCTS!$C$6:$C$17,MATCH(F43,PRODUCTS!$B$6:$B$17,0))),"Product not found")</f>
        <v/>
      </c>
      <c r="I43" s="29"/>
      <c r="J43" s="34"/>
      <c r="K43" s="30"/>
      <c r="L43" s="34"/>
      <c r="M43" s="29"/>
      <c r="N43" s="33"/>
      <c r="O43" s="33"/>
      <c r="P43" s="33" t="str">
        <f aca="false">IF(OR(N43="",L43=""),"",EDATE(N43,L43))</f>
        <v/>
      </c>
      <c r="Q43" s="38" t="str">
        <f aca="false">IF(OR(K43="",J43="",L43="",L43=0),"",IF(I43="Flat Rate",(K43+K43*J43/100*L43/12)/L43,PMT(J43/1200,L43,-K43)))</f>
        <v/>
      </c>
      <c r="R43" s="30" t="str">
        <f aca="false">IF(OR(S43="",K43=""),"",S43-K43)</f>
        <v/>
      </c>
      <c r="S43" s="30" t="str">
        <f aca="false">IF(OR(Q43="",L43=""),"",Q43*L43)</f>
        <v/>
      </c>
      <c r="T43" s="29" t="str">
        <f aca="false">IF(A43="","",SUMIFS(REPAYMENTS!$F$5:$F$104,REPAYMENTS!$C$5:$C$104,A43))</f>
        <v/>
      </c>
      <c r="U43" s="30" t="str">
        <f aca="false">IF(OR(S43="",T43=""),"",MAX(0,S43-T43))</f>
        <v/>
      </c>
      <c r="V43" s="34" t="str">
        <f aca="true">IF(OR(O43="",L43=""),"",IF(TODAY()&lt;O43,0,MIN(L43,DATEDIF(O43,TODAY(),"m")+1)))</f>
        <v/>
      </c>
      <c r="W43" s="30" t="str">
        <f aca="false">IF(OR(V43="",Q43="",T43=""),"",MAX(0,V43*Q43-T43))</f>
        <v/>
      </c>
      <c r="X43" s="39" t="str">
        <f aca="true">IF(OR(W43="",V43=""),"",IF(OR(W43&lt;=0,Z43="Fully Paid",Z43="Written Off"),0,TODAY()-EDATE(O43,V43-1)))</f>
        <v/>
      </c>
      <c r="Y43" s="34" t="str">
        <f aca="false">IF(A43="","",IF(Z43="Written Off","Written Off",IF(OR(X43="",X43=0),"Current",IF(X43&lt;=30,"1-30 Days",IF(X43&lt;=60,"31-60 Days",IF(X43&lt;=90,"61-90 Days","90+ Days (PAR90)"))))))</f>
        <v/>
      </c>
      <c r="Z43" s="29"/>
      <c r="AA43" s="29"/>
      <c r="AB43" s="29"/>
      <c r="AC43" s="29"/>
    </row>
    <row r="44" customFormat="false" ht="15" hidden="false" customHeight="false" outlineLevel="0" collapsed="false">
      <c r="A44" s="29"/>
      <c r="B44" s="29"/>
      <c r="C44" s="29"/>
      <c r="D44" s="29"/>
      <c r="E44" s="29"/>
      <c r="F44" s="29"/>
      <c r="G44" s="34" t="str">
        <f aca="false">IFERROR(IF(F44="","",INDEX(PRODUCTS!$D$6:$D$17,MATCH(F44,PRODUCTS!$B$6:$B$17,0))),"Product not found")</f>
        <v/>
      </c>
      <c r="H44" s="34" t="str">
        <f aca="false">IFERROR(IF(F44="","",INDEX(PRODUCTS!$C$6:$C$17,MATCH(F44,PRODUCTS!$B$6:$B$17,0))),"Product not found")</f>
        <v/>
      </c>
      <c r="I44" s="29"/>
      <c r="J44" s="34"/>
      <c r="K44" s="30"/>
      <c r="L44" s="34"/>
      <c r="M44" s="29"/>
      <c r="N44" s="33"/>
      <c r="O44" s="33"/>
      <c r="P44" s="33" t="str">
        <f aca="false">IF(OR(N44="",L44=""),"",EDATE(N44,L44))</f>
        <v/>
      </c>
      <c r="Q44" s="38" t="str">
        <f aca="false">IF(OR(K44="",J44="",L44="",L44=0),"",IF(I44="Flat Rate",(K44+K44*J44/100*L44/12)/L44,PMT(J44/1200,L44,-K44)))</f>
        <v/>
      </c>
      <c r="R44" s="30" t="str">
        <f aca="false">IF(OR(S44="",K44=""),"",S44-K44)</f>
        <v/>
      </c>
      <c r="S44" s="30" t="str">
        <f aca="false">IF(OR(Q44="",L44=""),"",Q44*L44)</f>
        <v/>
      </c>
      <c r="T44" s="29" t="str">
        <f aca="false">IF(A44="","",SUMIFS(REPAYMENTS!$F$5:$F$104,REPAYMENTS!$C$5:$C$104,A44))</f>
        <v/>
      </c>
      <c r="U44" s="30" t="str">
        <f aca="false">IF(OR(S44="",T44=""),"",MAX(0,S44-T44))</f>
        <v/>
      </c>
      <c r="V44" s="34" t="str">
        <f aca="true">IF(OR(O44="",L44=""),"",IF(TODAY()&lt;O44,0,MIN(L44,DATEDIF(O44,TODAY(),"m")+1)))</f>
        <v/>
      </c>
      <c r="W44" s="30" t="str">
        <f aca="false">IF(OR(V44="",Q44="",T44=""),"",MAX(0,V44*Q44-T44))</f>
        <v/>
      </c>
      <c r="X44" s="39" t="str">
        <f aca="true">IF(OR(W44="",V44=""),"",IF(OR(W44&lt;=0,Z44="Fully Paid",Z44="Written Off"),0,TODAY()-EDATE(O44,V44-1)))</f>
        <v/>
      </c>
      <c r="Y44" s="34" t="str">
        <f aca="false">IF(A44="","",IF(Z44="Written Off","Written Off",IF(OR(X44="",X44=0),"Current",IF(X44&lt;=30,"1-30 Days",IF(X44&lt;=60,"31-60 Days",IF(X44&lt;=90,"61-90 Days","90+ Days (PAR90)"))))))</f>
        <v/>
      </c>
      <c r="Z44" s="29"/>
      <c r="AA44" s="29"/>
      <c r="AB44" s="29"/>
      <c r="AC44" s="29"/>
    </row>
    <row r="45" customFormat="false" ht="15" hidden="false" customHeight="false" outlineLevel="0" collapsed="false">
      <c r="A45" s="29"/>
      <c r="B45" s="29"/>
      <c r="C45" s="29"/>
      <c r="D45" s="29"/>
      <c r="E45" s="29"/>
      <c r="F45" s="29"/>
      <c r="G45" s="34" t="str">
        <f aca="false">IFERROR(IF(F45="","",INDEX(PRODUCTS!$D$6:$D$17,MATCH(F45,PRODUCTS!$B$6:$B$17,0))),"Product not found")</f>
        <v/>
      </c>
      <c r="H45" s="34" t="str">
        <f aca="false">IFERROR(IF(F45="","",INDEX(PRODUCTS!$C$6:$C$17,MATCH(F45,PRODUCTS!$B$6:$B$17,0))),"Product not found")</f>
        <v/>
      </c>
      <c r="I45" s="29"/>
      <c r="J45" s="34"/>
      <c r="K45" s="30"/>
      <c r="L45" s="34"/>
      <c r="M45" s="29"/>
      <c r="N45" s="33"/>
      <c r="O45" s="33"/>
      <c r="P45" s="33" t="str">
        <f aca="false">IF(OR(N45="",L45=""),"",EDATE(N45,L45))</f>
        <v/>
      </c>
      <c r="Q45" s="38" t="str">
        <f aca="false">IF(OR(K45="",J45="",L45="",L45=0),"",IF(I45="Flat Rate",(K45+K45*J45/100*L45/12)/L45,PMT(J45/1200,L45,-K45)))</f>
        <v/>
      </c>
      <c r="R45" s="30" t="str">
        <f aca="false">IF(OR(S45="",K45=""),"",S45-K45)</f>
        <v/>
      </c>
      <c r="S45" s="30" t="str">
        <f aca="false">IF(OR(Q45="",L45=""),"",Q45*L45)</f>
        <v/>
      </c>
      <c r="T45" s="29" t="str">
        <f aca="false">IF(A45="","",SUMIFS(REPAYMENTS!$F$5:$F$104,REPAYMENTS!$C$5:$C$104,A45))</f>
        <v/>
      </c>
      <c r="U45" s="30" t="str">
        <f aca="false">IF(OR(S45="",T45=""),"",MAX(0,S45-T45))</f>
        <v/>
      </c>
      <c r="V45" s="34" t="str">
        <f aca="true">IF(OR(O45="",L45=""),"",IF(TODAY()&lt;O45,0,MIN(L45,DATEDIF(O45,TODAY(),"m")+1)))</f>
        <v/>
      </c>
      <c r="W45" s="30" t="str">
        <f aca="false">IF(OR(V45="",Q45="",T45=""),"",MAX(0,V45*Q45-T45))</f>
        <v/>
      </c>
      <c r="X45" s="39" t="str">
        <f aca="true">IF(OR(W45="",V45=""),"",IF(OR(W45&lt;=0,Z45="Fully Paid",Z45="Written Off"),0,TODAY()-EDATE(O45,V45-1)))</f>
        <v/>
      </c>
      <c r="Y45" s="34" t="str">
        <f aca="false">IF(A45="","",IF(Z45="Written Off","Written Off",IF(OR(X45="",X45=0),"Current",IF(X45&lt;=30,"1-30 Days",IF(X45&lt;=60,"31-60 Days",IF(X45&lt;=90,"61-90 Days","90+ Days (PAR90)"))))))</f>
        <v/>
      </c>
      <c r="Z45" s="29"/>
      <c r="AA45" s="29"/>
      <c r="AB45" s="29"/>
      <c r="AC45" s="29"/>
    </row>
    <row r="46" customFormat="false" ht="15" hidden="false" customHeight="false" outlineLevel="0" collapsed="false">
      <c r="A46" s="29"/>
      <c r="B46" s="29"/>
      <c r="C46" s="29"/>
      <c r="D46" s="29"/>
      <c r="E46" s="29"/>
      <c r="F46" s="29"/>
      <c r="G46" s="34" t="str">
        <f aca="false">IFERROR(IF(F46="","",INDEX(PRODUCTS!$D$6:$D$17,MATCH(F46,PRODUCTS!$B$6:$B$17,0))),"Product not found")</f>
        <v/>
      </c>
      <c r="H46" s="34" t="str">
        <f aca="false">IFERROR(IF(F46="","",INDEX(PRODUCTS!$C$6:$C$17,MATCH(F46,PRODUCTS!$B$6:$B$17,0))),"Product not found")</f>
        <v/>
      </c>
      <c r="I46" s="29"/>
      <c r="J46" s="34"/>
      <c r="K46" s="30"/>
      <c r="L46" s="34"/>
      <c r="M46" s="29"/>
      <c r="N46" s="33"/>
      <c r="O46" s="33"/>
      <c r="P46" s="33" t="str">
        <f aca="false">IF(OR(N46="",L46=""),"",EDATE(N46,L46))</f>
        <v/>
      </c>
      <c r="Q46" s="38" t="str">
        <f aca="false">IF(OR(K46="",J46="",L46="",L46=0),"",IF(I46="Flat Rate",(K46+K46*J46/100*L46/12)/L46,PMT(J46/1200,L46,-K46)))</f>
        <v/>
      </c>
      <c r="R46" s="30" t="str">
        <f aca="false">IF(OR(S46="",K46=""),"",S46-K46)</f>
        <v/>
      </c>
      <c r="S46" s="30" t="str">
        <f aca="false">IF(OR(Q46="",L46=""),"",Q46*L46)</f>
        <v/>
      </c>
      <c r="T46" s="29" t="str">
        <f aca="false">IF(A46="","",SUMIFS(REPAYMENTS!$F$5:$F$104,REPAYMENTS!$C$5:$C$104,A46))</f>
        <v/>
      </c>
      <c r="U46" s="30" t="str">
        <f aca="false">IF(OR(S46="",T46=""),"",MAX(0,S46-T46))</f>
        <v/>
      </c>
      <c r="V46" s="34" t="str">
        <f aca="true">IF(OR(O46="",L46=""),"",IF(TODAY()&lt;O46,0,MIN(L46,DATEDIF(O46,TODAY(),"m")+1)))</f>
        <v/>
      </c>
      <c r="W46" s="30" t="str">
        <f aca="false">IF(OR(V46="",Q46="",T46=""),"",MAX(0,V46*Q46-T46))</f>
        <v/>
      </c>
      <c r="X46" s="39" t="str">
        <f aca="true">IF(OR(W46="",V46=""),"",IF(OR(W46&lt;=0,Z46="Fully Paid",Z46="Written Off"),0,TODAY()-EDATE(O46,V46-1)))</f>
        <v/>
      </c>
      <c r="Y46" s="34" t="str">
        <f aca="false">IF(A46="","",IF(Z46="Written Off","Written Off",IF(OR(X46="",X46=0),"Current",IF(X46&lt;=30,"1-30 Days",IF(X46&lt;=60,"31-60 Days",IF(X46&lt;=90,"61-90 Days","90+ Days (PAR90)"))))))</f>
        <v/>
      </c>
      <c r="Z46" s="29"/>
      <c r="AA46" s="29"/>
      <c r="AB46" s="29"/>
      <c r="AC46" s="29"/>
    </row>
    <row r="47" customFormat="false" ht="15" hidden="false" customHeight="false" outlineLevel="0" collapsed="false">
      <c r="A47" s="29"/>
      <c r="B47" s="29"/>
      <c r="C47" s="29"/>
      <c r="D47" s="29"/>
      <c r="E47" s="29"/>
      <c r="F47" s="29"/>
      <c r="G47" s="34" t="str">
        <f aca="false">IFERROR(IF(F47="","",INDEX(PRODUCTS!$D$6:$D$17,MATCH(F47,PRODUCTS!$B$6:$B$17,0))),"Product not found")</f>
        <v/>
      </c>
      <c r="H47" s="34" t="str">
        <f aca="false">IFERROR(IF(F47="","",INDEX(PRODUCTS!$C$6:$C$17,MATCH(F47,PRODUCTS!$B$6:$B$17,0))),"Product not found")</f>
        <v/>
      </c>
      <c r="I47" s="29"/>
      <c r="J47" s="34"/>
      <c r="K47" s="30"/>
      <c r="L47" s="34"/>
      <c r="M47" s="29"/>
      <c r="N47" s="33"/>
      <c r="O47" s="33"/>
      <c r="P47" s="33" t="str">
        <f aca="false">IF(OR(N47="",L47=""),"",EDATE(N47,L47))</f>
        <v/>
      </c>
      <c r="Q47" s="38" t="str">
        <f aca="false">IF(OR(K47="",J47="",L47="",L47=0),"",IF(I47="Flat Rate",(K47+K47*J47/100*L47/12)/L47,PMT(J47/1200,L47,-K47)))</f>
        <v/>
      </c>
      <c r="R47" s="30" t="str">
        <f aca="false">IF(OR(S47="",K47=""),"",S47-K47)</f>
        <v/>
      </c>
      <c r="S47" s="30" t="str">
        <f aca="false">IF(OR(Q47="",L47=""),"",Q47*L47)</f>
        <v/>
      </c>
      <c r="T47" s="29" t="str">
        <f aca="false">IF(A47="","",SUMIFS(REPAYMENTS!$F$5:$F$104,REPAYMENTS!$C$5:$C$104,A47))</f>
        <v/>
      </c>
      <c r="U47" s="30" t="str">
        <f aca="false">IF(OR(S47="",T47=""),"",MAX(0,S47-T47))</f>
        <v/>
      </c>
      <c r="V47" s="34" t="str">
        <f aca="true">IF(OR(O47="",L47=""),"",IF(TODAY()&lt;O47,0,MIN(L47,DATEDIF(O47,TODAY(),"m")+1)))</f>
        <v/>
      </c>
      <c r="W47" s="30" t="str">
        <f aca="false">IF(OR(V47="",Q47="",T47=""),"",MAX(0,V47*Q47-T47))</f>
        <v/>
      </c>
      <c r="X47" s="39" t="str">
        <f aca="true">IF(OR(W47="",V47=""),"",IF(OR(W47&lt;=0,Z47="Fully Paid",Z47="Written Off"),0,TODAY()-EDATE(O47,V47-1)))</f>
        <v/>
      </c>
      <c r="Y47" s="34" t="str">
        <f aca="false">IF(A47="","",IF(Z47="Written Off","Written Off",IF(OR(X47="",X47=0),"Current",IF(X47&lt;=30,"1-30 Days",IF(X47&lt;=60,"31-60 Days",IF(X47&lt;=90,"61-90 Days","90+ Days (PAR90)"))))))</f>
        <v/>
      </c>
      <c r="Z47" s="29"/>
      <c r="AA47" s="29"/>
      <c r="AB47" s="29"/>
      <c r="AC47" s="29"/>
    </row>
    <row r="48" customFormat="false" ht="15" hidden="false" customHeight="false" outlineLevel="0" collapsed="false">
      <c r="A48" s="29"/>
      <c r="B48" s="29"/>
      <c r="C48" s="29"/>
      <c r="D48" s="29"/>
      <c r="E48" s="29"/>
      <c r="F48" s="29"/>
      <c r="G48" s="34" t="str">
        <f aca="false">IFERROR(IF(F48="","",INDEX(PRODUCTS!$D$6:$D$17,MATCH(F48,PRODUCTS!$B$6:$B$17,0))),"Product not found")</f>
        <v/>
      </c>
      <c r="H48" s="34" t="str">
        <f aca="false">IFERROR(IF(F48="","",INDEX(PRODUCTS!$C$6:$C$17,MATCH(F48,PRODUCTS!$B$6:$B$17,0))),"Product not found")</f>
        <v/>
      </c>
      <c r="I48" s="29"/>
      <c r="J48" s="34"/>
      <c r="K48" s="30"/>
      <c r="L48" s="34"/>
      <c r="M48" s="29"/>
      <c r="N48" s="33"/>
      <c r="O48" s="33"/>
      <c r="P48" s="33" t="str">
        <f aca="false">IF(OR(N48="",L48=""),"",EDATE(N48,L48))</f>
        <v/>
      </c>
      <c r="Q48" s="38" t="str">
        <f aca="false">IF(OR(K48="",J48="",L48="",L48=0),"",IF(I48="Flat Rate",(K48+K48*J48/100*L48/12)/L48,PMT(J48/1200,L48,-K48)))</f>
        <v/>
      </c>
      <c r="R48" s="30" t="str">
        <f aca="false">IF(OR(S48="",K48=""),"",S48-K48)</f>
        <v/>
      </c>
      <c r="S48" s="30" t="str">
        <f aca="false">IF(OR(Q48="",L48=""),"",Q48*L48)</f>
        <v/>
      </c>
      <c r="T48" s="29" t="str">
        <f aca="false">IF(A48="","",SUMIFS(REPAYMENTS!$F$5:$F$104,REPAYMENTS!$C$5:$C$104,A48))</f>
        <v/>
      </c>
      <c r="U48" s="30" t="str">
        <f aca="false">IF(OR(S48="",T48=""),"",MAX(0,S48-T48))</f>
        <v/>
      </c>
      <c r="V48" s="34" t="str">
        <f aca="true">IF(OR(O48="",L48=""),"",IF(TODAY()&lt;O48,0,MIN(L48,DATEDIF(O48,TODAY(),"m")+1)))</f>
        <v/>
      </c>
      <c r="W48" s="30" t="str">
        <f aca="false">IF(OR(V48="",Q48="",T48=""),"",MAX(0,V48*Q48-T48))</f>
        <v/>
      </c>
      <c r="X48" s="39" t="str">
        <f aca="true">IF(OR(W48="",V48=""),"",IF(OR(W48&lt;=0,Z48="Fully Paid",Z48="Written Off"),0,TODAY()-EDATE(O48,V48-1)))</f>
        <v/>
      </c>
      <c r="Y48" s="34" t="str">
        <f aca="false">IF(A48="","",IF(Z48="Written Off","Written Off",IF(OR(X48="",X48=0),"Current",IF(X48&lt;=30,"1-30 Days",IF(X48&lt;=60,"31-60 Days",IF(X48&lt;=90,"61-90 Days","90+ Days (PAR90)"))))))</f>
        <v/>
      </c>
      <c r="Z48" s="29"/>
      <c r="AA48" s="29"/>
      <c r="AB48" s="29"/>
      <c r="AC48" s="29"/>
    </row>
    <row r="49" customFormat="false" ht="15" hidden="false" customHeight="false" outlineLevel="0" collapsed="false">
      <c r="A49" s="29"/>
      <c r="B49" s="29"/>
      <c r="C49" s="29"/>
      <c r="D49" s="29"/>
      <c r="E49" s="29"/>
      <c r="F49" s="29"/>
      <c r="G49" s="34" t="str">
        <f aca="false">IFERROR(IF(F49="","",INDEX(PRODUCTS!$D$6:$D$17,MATCH(F49,PRODUCTS!$B$6:$B$17,0))),"Product not found")</f>
        <v/>
      </c>
      <c r="H49" s="34" t="str">
        <f aca="false">IFERROR(IF(F49="","",INDEX(PRODUCTS!$C$6:$C$17,MATCH(F49,PRODUCTS!$B$6:$B$17,0))),"Product not found")</f>
        <v/>
      </c>
      <c r="I49" s="29"/>
      <c r="J49" s="34"/>
      <c r="K49" s="30"/>
      <c r="L49" s="34"/>
      <c r="M49" s="29"/>
      <c r="N49" s="33"/>
      <c r="O49" s="33"/>
      <c r="P49" s="33" t="str">
        <f aca="false">IF(OR(N49="",L49=""),"",EDATE(N49,L49))</f>
        <v/>
      </c>
      <c r="Q49" s="38" t="str">
        <f aca="false">IF(OR(K49="",J49="",L49="",L49=0),"",IF(I49="Flat Rate",(K49+K49*J49/100*L49/12)/L49,PMT(J49/1200,L49,-K49)))</f>
        <v/>
      </c>
      <c r="R49" s="30" t="str">
        <f aca="false">IF(OR(S49="",K49=""),"",S49-K49)</f>
        <v/>
      </c>
      <c r="S49" s="30" t="str">
        <f aca="false">IF(OR(Q49="",L49=""),"",Q49*L49)</f>
        <v/>
      </c>
      <c r="T49" s="29" t="str">
        <f aca="false">IF(A49="","",SUMIFS(REPAYMENTS!$F$5:$F$104,REPAYMENTS!$C$5:$C$104,A49))</f>
        <v/>
      </c>
      <c r="U49" s="30" t="str">
        <f aca="false">IF(OR(S49="",T49=""),"",MAX(0,S49-T49))</f>
        <v/>
      </c>
      <c r="V49" s="34" t="str">
        <f aca="true">IF(OR(O49="",L49=""),"",IF(TODAY()&lt;O49,0,MIN(L49,DATEDIF(O49,TODAY(),"m")+1)))</f>
        <v/>
      </c>
      <c r="W49" s="30" t="str">
        <f aca="false">IF(OR(V49="",Q49="",T49=""),"",MAX(0,V49*Q49-T49))</f>
        <v/>
      </c>
      <c r="X49" s="39" t="str">
        <f aca="true">IF(OR(W49="",V49=""),"",IF(OR(W49&lt;=0,Z49="Fully Paid",Z49="Written Off"),0,TODAY()-EDATE(O49,V49-1)))</f>
        <v/>
      </c>
      <c r="Y49" s="34" t="str">
        <f aca="false">IF(A49="","",IF(Z49="Written Off","Written Off",IF(OR(X49="",X49=0),"Current",IF(X49&lt;=30,"1-30 Days",IF(X49&lt;=60,"31-60 Days",IF(X49&lt;=90,"61-90 Days","90+ Days (PAR90)"))))))</f>
        <v/>
      </c>
      <c r="Z49" s="29"/>
      <c r="AA49" s="29"/>
      <c r="AB49" s="29"/>
      <c r="AC49" s="29"/>
    </row>
    <row r="50" customFormat="false" ht="15" hidden="false" customHeight="false" outlineLevel="0" collapsed="false">
      <c r="A50" s="29"/>
      <c r="B50" s="29"/>
      <c r="C50" s="29"/>
      <c r="D50" s="29"/>
      <c r="E50" s="29"/>
      <c r="F50" s="29"/>
      <c r="G50" s="34" t="str">
        <f aca="false">IFERROR(IF(F50="","",INDEX(PRODUCTS!$D$6:$D$17,MATCH(F50,PRODUCTS!$B$6:$B$17,0))),"Product not found")</f>
        <v/>
      </c>
      <c r="H50" s="34" t="str">
        <f aca="false">IFERROR(IF(F50="","",INDEX(PRODUCTS!$C$6:$C$17,MATCH(F50,PRODUCTS!$B$6:$B$17,0))),"Product not found")</f>
        <v/>
      </c>
      <c r="I50" s="29"/>
      <c r="J50" s="34"/>
      <c r="K50" s="30"/>
      <c r="L50" s="34"/>
      <c r="M50" s="29"/>
      <c r="N50" s="33"/>
      <c r="O50" s="33"/>
      <c r="P50" s="33" t="str">
        <f aca="false">IF(OR(N50="",L50=""),"",EDATE(N50,L50))</f>
        <v/>
      </c>
      <c r="Q50" s="38" t="str">
        <f aca="false">IF(OR(K50="",J50="",L50="",L50=0),"",IF(I50="Flat Rate",(K50+K50*J50/100*L50/12)/L50,PMT(J50/1200,L50,-K50)))</f>
        <v/>
      </c>
      <c r="R50" s="30" t="str">
        <f aca="false">IF(OR(S50="",K50=""),"",S50-K50)</f>
        <v/>
      </c>
      <c r="S50" s="30" t="str">
        <f aca="false">IF(OR(Q50="",L50=""),"",Q50*L50)</f>
        <v/>
      </c>
      <c r="T50" s="29" t="str">
        <f aca="false">IF(A50="","",SUMIFS(REPAYMENTS!$F$5:$F$104,REPAYMENTS!$C$5:$C$104,A50))</f>
        <v/>
      </c>
      <c r="U50" s="30" t="str">
        <f aca="false">IF(OR(S50="",T50=""),"",MAX(0,S50-T50))</f>
        <v/>
      </c>
      <c r="V50" s="34" t="str">
        <f aca="true">IF(OR(O50="",L50=""),"",IF(TODAY()&lt;O50,0,MIN(L50,DATEDIF(O50,TODAY(),"m")+1)))</f>
        <v/>
      </c>
      <c r="W50" s="30" t="str">
        <f aca="false">IF(OR(V50="",Q50="",T50=""),"",MAX(0,V50*Q50-T50))</f>
        <v/>
      </c>
      <c r="X50" s="39" t="str">
        <f aca="true">IF(OR(W50="",V50=""),"",IF(OR(W50&lt;=0,Z50="Fully Paid",Z50="Written Off"),0,TODAY()-EDATE(O50,V50-1)))</f>
        <v/>
      </c>
      <c r="Y50" s="34" t="str">
        <f aca="false">IF(A50="","",IF(Z50="Written Off","Written Off",IF(OR(X50="",X50=0),"Current",IF(X50&lt;=30,"1-30 Days",IF(X50&lt;=60,"31-60 Days",IF(X50&lt;=90,"61-90 Days","90+ Days (PAR90)"))))))</f>
        <v/>
      </c>
      <c r="Z50" s="29"/>
      <c r="AA50" s="29"/>
      <c r="AB50" s="29"/>
      <c r="AC50" s="29"/>
    </row>
    <row r="51" customFormat="false" ht="15" hidden="false" customHeight="false" outlineLevel="0" collapsed="false">
      <c r="A51" s="29"/>
      <c r="B51" s="29"/>
      <c r="C51" s="29"/>
      <c r="D51" s="29"/>
      <c r="E51" s="29"/>
      <c r="F51" s="29"/>
      <c r="G51" s="34" t="str">
        <f aca="false">IFERROR(IF(F51="","",INDEX(PRODUCTS!$D$6:$D$17,MATCH(F51,PRODUCTS!$B$6:$B$17,0))),"Product not found")</f>
        <v/>
      </c>
      <c r="H51" s="34" t="str">
        <f aca="false">IFERROR(IF(F51="","",INDEX(PRODUCTS!$C$6:$C$17,MATCH(F51,PRODUCTS!$B$6:$B$17,0))),"Product not found")</f>
        <v/>
      </c>
      <c r="I51" s="29"/>
      <c r="J51" s="34"/>
      <c r="K51" s="30"/>
      <c r="L51" s="34"/>
      <c r="M51" s="29"/>
      <c r="N51" s="33"/>
      <c r="O51" s="33"/>
      <c r="P51" s="33" t="str">
        <f aca="false">IF(OR(N51="",L51=""),"",EDATE(N51,L51))</f>
        <v/>
      </c>
      <c r="Q51" s="38" t="str">
        <f aca="false">IF(OR(K51="",J51="",L51="",L51=0),"",IF(I51="Flat Rate",(K51+K51*J51/100*L51/12)/L51,PMT(J51/1200,L51,-K51)))</f>
        <v/>
      </c>
      <c r="R51" s="30" t="str">
        <f aca="false">IF(OR(S51="",K51=""),"",S51-K51)</f>
        <v/>
      </c>
      <c r="S51" s="30" t="str">
        <f aca="false">IF(OR(Q51="",L51=""),"",Q51*L51)</f>
        <v/>
      </c>
      <c r="T51" s="29" t="str">
        <f aca="false">IF(A51="","",SUMIFS(REPAYMENTS!$F$5:$F$104,REPAYMENTS!$C$5:$C$104,A51))</f>
        <v/>
      </c>
      <c r="U51" s="30" t="str">
        <f aca="false">IF(OR(S51="",T51=""),"",MAX(0,S51-T51))</f>
        <v/>
      </c>
      <c r="V51" s="34" t="str">
        <f aca="true">IF(OR(O51="",L51=""),"",IF(TODAY()&lt;O51,0,MIN(L51,DATEDIF(O51,TODAY(),"m")+1)))</f>
        <v/>
      </c>
      <c r="W51" s="30" t="str">
        <f aca="false">IF(OR(V51="",Q51="",T51=""),"",MAX(0,V51*Q51-T51))</f>
        <v/>
      </c>
      <c r="X51" s="39" t="str">
        <f aca="true">IF(OR(W51="",V51=""),"",IF(OR(W51&lt;=0,Z51="Fully Paid",Z51="Written Off"),0,TODAY()-EDATE(O51,V51-1)))</f>
        <v/>
      </c>
      <c r="Y51" s="34" t="str">
        <f aca="false">IF(A51="","",IF(Z51="Written Off","Written Off",IF(OR(X51="",X51=0),"Current",IF(X51&lt;=30,"1-30 Days",IF(X51&lt;=60,"31-60 Days",IF(X51&lt;=90,"61-90 Days","90+ Days (PAR90)"))))))</f>
        <v/>
      </c>
      <c r="Z51" s="29"/>
      <c r="AA51" s="29"/>
      <c r="AB51" s="29"/>
      <c r="AC51" s="29"/>
    </row>
    <row r="52" customFormat="false" ht="15" hidden="false" customHeight="false" outlineLevel="0" collapsed="false">
      <c r="A52" s="29"/>
      <c r="B52" s="29"/>
      <c r="C52" s="29"/>
      <c r="D52" s="29"/>
      <c r="E52" s="29"/>
      <c r="F52" s="29"/>
      <c r="G52" s="34" t="str">
        <f aca="false">IFERROR(IF(F52="","",INDEX(PRODUCTS!$D$6:$D$17,MATCH(F52,PRODUCTS!$B$6:$B$17,0))),"Product not found")</f>
        <v/>
      </c>
      <c r="H52" s="34" t="str">
        <f aca="false">IFERROR(IF(F52="","",INDEX(PRODUCTS!$C$6:$C$17,MATCH(F52,PRODUCTS!$B$6:$B$17,0))),"Product not found")</f>
        <v/>
      </c>
      <c r="I52" s="29"/>
      <c r="J52" s="34"/>
      <c r="K52" s="30"/>
      <c r="L52" s="34"/>
      <c r="M52" s="29"/>
      <c r="N52" s="33"/>
      <c r="O52" s="33"/>
      <c r="P52" s="33" t="str">
        <f aca="false">IF(OR(N52="",L52=""),"",EDATE(N52,L52))</f>
        <v/>
      </c>
      <c r="Q52" s="38" t="str">
        <f aca="false">IF(OR(K52="",J52="",L52="",L52=0),"",IF(I52="Flat Rate",(K52+K52*J52/100*L52/12)/L52,PMT(J52/1200,L52,-K52)))</f>
        <v/>
      </c>
      <c r="R52" s="30" t="str">
        <f aca="false">IF(OR(S52="",K52=""),"",S52-K52)</f>
        <v/>
      </c>
      <c r="S52" s="30" t="str">
        <f aca="false">IF(OR(Q52="",L52=""),"",Q52*L52)</f>
        <v/>
      </c>
      <c r="T52" s="29" t="str">
        <f aca="false">IF(A52="","",SUMIFS(REPAYMENTS!$F$5:$F$104,REPAYMENTS!$C$5:$C$104,A52))</f>
        <v/>
      </c>
      <c r="U52" s="30" t="str">
        <f aca="false">IF(OR(S52="",T52=""),"",MAX(0,S52-T52))</f>
        <v/>
      </c>
      <c r="V52" s="34" t="str">
        <f aca="true">IF(OR(O52="",L52=""),"",IF(TODAY()&lt;O52,0,MIN(L52,DATEDIF(O52,TODAY(),"m")+1)))</f>
        <v/>
      </c>
      <c r="W52" s="30" t="str">
        <f aca="false">IF(OR(V52="",Q52="",T52=""),"",MAX(0,V52*Q52-T52))</f>
        <v/>
      </c>
      <c r="X52" s="39" t="str">
        <f aca="true">IF(OR(W52="",V52=""),"",IF(OR(W52&lt;=0,Z52="Fully Paid",Z52="Written Off"),0,TODAY()-EDATE(O52,V52-1)))</f>
        <v/>
      </c>
      <c r="Y52" s="34" t="str">
        <f aca="false">IF(A52="","",IF(Z52="Written Off","Written Off",IF(OR(X52="",X52=0),"Current",IF(X52&lt;=30,"1-30 Days",IF(X52&lt;=60,"31-60 Days",IF(X52&lt;=90,"61-90 Days","90+ Days (PAR90)"))))))</f>
        <v/>
      </c>
      <c r="Z52" s="29"/>
      <c r="AA52" s="29"/>
      <c r="AB52" s="29"/>
      <c r="AC52" s="29"/>
    </row>
    <row r="53" customFormat="false" ht="15" hidden="false" customHeight="false" outlineLevel="0" collapsed="false">
      <c r="A53" s="29"/>
      <c r="B53" s="29"/>
      <c r="C53" s="29"/>
      <c r="D53" s="29"/>
      <c r="E53" s="29"/>
      <c r="F53" s="29"/>
      <c r="G53" s="34" t="str">
        <f aca="false">IFERROR(IF(F53="","",INDEX(PRODUCTS!$D$6:$D$17,MATCH(F53,PRODUCTS!$B$6:$B$17,0))),"Product not found")</f>
        <v/>
      </c>
      <c r="H53" s="34" t="str">
        <f aca="false">IFERROR(IF(F53="","",INDEX(PRODUCTS!$C$6:$C$17,MATCH(F53,PRODUCTS!$B$6:$B$17,0))),"Product not found")</f>
        <v/>
      </c>
      <c r="I53" s="29"/>
      <c r="J53" s="34"/>
      <c r="K53" s="30"/>
      <c r="L53" s="34"/>
      <c r="M53" s="29"/>
      <c r="N53" s="33"/>
      <c r="O53" s="33"/>
      <c r="P53" s="33" t="str">
        <f aca="false">IF(OR(N53="",L53=""),"",EDATE(N53,L53))</f>
        <v/>
      </c>
      <c r="Q53" s="38" t="str">
        <f aca="false">IF(OR(K53="",J53="",L53="",L53=0),"",IF(I53="Flat Rate",(K53+K53*J53/100*L53/12)/L53,PMT(J53/1200,L53,-K53)))</f>
        <v/>
      </c>
      <c r="R53" s="30" t="str">
        <f aca="false">IF(OR(S53="",K53=""),"",S53-K53)</f>
        <v/>
      </c>
      <c r="S53" s="30" t="str">
        <f aca="false">IF(OR(Q53="",L53=""),"",Q53*L53)</f>
        <v/>
      </c>
      <c r="T53" s="29" t="str">
        <f aca="false">IF(A53="","",SUMIFS(REPAYMENTS!$F$5:$F$104,REPAYMENTS!$C$5:$C$104,A53))</f>
        <v/>
      </c>
      <c r="U53" s="30" t="str">
        <f aca="false">IF(OR(S53="",T53=""),"",MAX(0,S53-T53))</f>
        <v/>
      </c>
      <c r="V53" s="34" t="str">
        <f aca="true">IF(OR(O53="",L53=""),"",IF(TODAY()&lt;O53,0,MIN(L53,DATEDIF(O53,TODAY(),"m")+1)))</f>
        <v/>
      </c>
      <c r="W53" s="30" t="str">
        <f aca="false">IF(OR(V53="",Q53="",T53=""),"",MAX(0,V53*Q53-T53))</f>
        <v/>
      </c>
      <c r="X53" s="39" t="str">
        <f aca="true">IF(OR(W53="",V53=""),"",IF(OR(W53&lt;=0,Z53="Fully Paid",Z53="Written Off"),0,TODAY()-EDATE(O53,V53-1)))</f>
        <v/>
      </c>
      <c r="Y53" s="34" t="str">
        <f aca="false">IF(A53="","",IF(Z53="Written Off","Written Off",IF(OR(X53="",X53=0),"Current",IF(X53&lt;=30,"1-30 Days",IF(X53&lt;=60,"31-60 Days",IF(X53&lt;=90,"61-90 Days","90+ Days (PAR90)"))))))</f>
        <v/>
      </c>
      <c r="Z53" s="29"/>
      <c r="AA53" s="29"/>
      <c r="AB53" s="29"/>
      <c r="AC53" s="29"/>
    </row>
    <row r="54" customFormat="false" ht="15" hidden="false" customHeight="false" outlineLevel="0" collapsed="false">
      <c r="A54" s="29"/>
      <c r="B54" s="29"/>
      <c r="C54" s="29"/>
      <c r="D54" s="29"/>
      <c r="E54" s="29"/>
      <c r="F54" s="29"/>
      <c r="G54" s="34" t="str">
        <f aca="false">IFERROR(IF(F54="","",INDEX(PRODUCTS!$D$6:$D$17,MATCH(F54,PRODUCTS!$B$6:$B$17,0))),"Product not found")</f>
        <v/>
      </c>
      <c r="H54" s="34" t="str">
        <f aca="false">IFERROR(IF(F54="","",INDEX(PRODUCTS!$C$6:$C$17,MATCH(F54,PRODUCTS!$B$6:$B$17,0))),"Product not found")</f>
        <v/>
      </c>
      <c r="I54" s="29"/>
      <c r="J54" s="34"/>
      <c r="K54" s="30"/>
      <c r="L54" s="34"/>
      <c r="M54" s="29"/>
      <c r="N54" s="33"/>
      <c r="O54" s="33"/>
      <c r="P54" s="33" t="str">
        <f aca="false">IF(OR(N54="",L54=""),"",EDATE(N54,L54))</f>
        <v/>
      </c>
      <c r="Q54" s="38" t="str">
        <f aca="false">IF(OR(K54="",J54="",L54="",L54=0),"",IF(I54="Flat Rate",(K54+K54*J54/100*L54/12)/L54,PMT(J54/1200,L54,-K54)))</f>
        <v/>
      </c>
      <c r="R54" s="30" t="str">
        <f aca="false">IF(OR(S54="",K54=""),"",S54-K54)</f>
        <v/>
      </c>
      <c r="S54" s="30" t="str">
        <f aca="false">IF(OR(Q54="",L54=""),"",Q54*L54)</f>
        <v/>
      </c>
      <c r="T54" s="29" t="str">
        <f aca="false">IF(A54="","",SUMIFS(REPAYMENTS!$F$5:$F$104,REPAYMENTS!$C$5:$C$104,A54))</f>
        <v/>
      </c>
      <c r="U54" s="30" t="str">
        <f aca="false">IF(OR(S54="",T54=""),"",MAX(0,S54-T54))</f>
        <v/>
      </c>
      <c r="V54" s="34" t="str">
        <f aca="true">IF(OR(O54="",L54=""),"",IF(TODAY()&lt;O54,0,MIN(L54,DATEDIF(O54,TODAY(),"m")+1)))</f>
        <v/>
      </c>
      <c r="W54" s="30" t="str">
        <f aca="false">IF(OR(V54="",Q54="",T54=""),"",MAX(0,V54*Q54-T54))</f>
        <v/>
      </c>
      <c r="X54" s="39" t="str">
        <f aca="true">IF(OR(W54="",V54=""),"",IF(OR(W54&lt;=0,Z54="Fully Paid",Z54="Written Off"),0,TODAY()-EDATE(O54,V54-1)))</f>
        <v/>
      </c>
      <c r="Y54" s="34" t="str">
        <f aca="false">IF(A54="","",IF(Z54="Written Off","Written Off",IF(OR(X54="",X54=0),"Current",IF(X54&lt;=30,"1-30 Days",IF(X54&lt;=60,"31-60 Days",IF(X54&lt;=90,"61-90 Days","90+ Days (PAR90)"))))))</f>
        <v/>
      </c>
      <c r="Z54" s="29"/>
      <c r="AA54" s="29"/>
      <c r="AB54" s="29"/>
      <c r="AC54" s="29"/>
    </row>
    <row r="55" customFormat="false" ht="15" hidden="false" customHeight="false" outlineLevel="0" collapsed="false">
      <c r="A55" s="29"/>
      <c r="B55" s="29"/>
      <c r="C55" s="29"/>
      <c r="D55" s="29"/>
      <c r="E55" s="29"/>
      <c r="F55" s="29"/>
      <c r="G55" s="34" t="str">
        <f aca="false">IFERROR(IF(F55="","",INDEX(PRODUCTS!$D$6:$D$17,MATCH(F55,PRODUCTS!$B$6:$B$17,0))),"Product not found")</f>
        <v/>
      </c>
      <c r="H55" s="34" t="str">
        <f aca="false">IFERROR(IF(F55="","",INDEX(PRODUCTS!$C$6:$C$17,MATCH(F55,PRODUCTS!$B$6:$B$17,0))),"Product not found")</f>
        <v/>
      </c>
      <c r="I55" s="29"/>
      <c r="J55" s="34"/>
      <c r="K55" s="30"/>
      <c r="L55" s="34"/>
      <c r="M55" s="29"/>
      <c r="N55" s="33"/>
      <c r="O55" s="33"/>
      <c r="P55" s="33" t="str">
        <f aca="false">IF(OR(N55="",L55=""),"",EDATE(N55,L55))</f>
        <v/>
      </c>
      <c r="Q55" s="38" t="str">
        <f aca="false">IF(OR(K55="",J55="",L55="",L55=0),"",IF(I55="Flat Rate",(K55+K55*J55/100*L55/12)/L55,PMT(J55/1200,L55,-K55)))</f>
        <v/>
      </c>
      <c r="R55" s="30" t="str">
        <f aca="false">IF(OR(S55="",K55=""),"",S55-K55)</f>
        <v/>
      </c>
      <c r="S55" s="30" t="str">
        <f aca="false">IF(OR(Q55="",L55=""),"",Q55*L55)</f>
        <v/>
      </c>
      <c r="T55" s="29" t="str">
        <f aca="false">IF(A55="","",SUMIFS(REPAYMENTS!$F$5:$F$104,REPAYMENTS!$C$5:$C$104,A55))</f>
        <v/>
      </c>
      <c r="U55" s="30" t="str">
        <f aca="false">IF(OR(S55="",T55=""),"",MAX(0,S55-T55))</f>
        <v/>
      </c>
      <c r="V55" s="34" t="str">
        <f aca="true">IF(OR(O55="",L55=""),"",IF(TODAY()&lt;O55,0,MIN(L55,DATEDIF(O55,TODAY(),"m")+1)))</f>
        <v/>
      </c>
      <c r="W55" s="30" t="str">
        <f aca="false">IF(OR(V55="",Q55="",T55=""),"",MAX(0,V55*Q55-T55))</f>
        <v/>
      </c>
      <c r="X55" s="39" t="str">
        <f aca="true">IF(OR(W55="",V55=""),"",IF(OR(W55&lt;=0,Z55="Fully Paid",Z55="Written Off"),0,TODAY()-EDATE(O55,V55-1)))</f>
        <v/>
      </c>
      <c r="Y55" s="34" t="str">
        <f aca="false">IF(A55="","",IF(Z55="Written Off","Written Off",IF(OR(X55="",X55=0),"Current",IF(X55&lt;=30,"1-30 Days",IF(X55&lt;=60,"31-60 Days",IF(X55&lt;=90,"61-90 Days","90+ Days (PAR90)"))))))</f>
        <v/>
      </c>
      <c r="Z55" s="29"/>
      <c r="AA55" s="29"/>
      <c r="AB55" s="29"/>
      <c r="AC55" s="29"/>
    </row>
  </sheetData>
  <mergeCells count="3">
    <mergeCell ref="A1:AC1"/>
    <mergeCell ref="A2:AC2"/>
    <mergeCell ref="A3:AC3"/>
  </mergeCells>
  <conditionalFormatting sqref="Z6:Z55">
    <cfRule type="cellIs" priority="2" operator="equal" aboveAverage="0" equalAverage="0" bottom="0" percent="0" rank="0" text="" dxfId="0">
      <formula>"Active"</formula>
    </cfRule>
    <cfRule type="cellIs" priority="3" operator="equal" aboveAverage="0" equalAverage="0" bottom="0" percent="0" rank="0" text="" dxfId="0">
      <formula>"Fully Paid"</formula>
    </cfRule>
    <cfRule type="cellIs" priority="4" operator="equal" aboveAverage="0" equalAverage="0" bottom="0" percent="0" rank="0" text="" dxfId="1">
      <formula>"Defaulted"</formula>
    </cfRule>
    <cfRule type="cellIs" priority="5" operator="equal" aboveAverage="0" equalAverage="0" bottom="0" percent="0" rank="0" text="" dxfId="1">
      <formula>"Written Off"</formula>
    </cfRule>
    <cfRule type="cellIs" priority="6" operator="equal" aboveAverage="0" equalAverage="0" bottom="0" percent="0" rank="0" text="" dxfId="2">
      <formula>"Restructured"</formula>
    </cfRule>
  </conditionalFormatting>
  <conditionalFormatting sqref="Y6:Y55">
    <cfRule type="cellIs" priority="7" operator="equal" aboveAverage="0" equalAverage="0" bottom="0" percent="0" rank="0" text="" dxfId="0">
      <formula>"Current"</formula>
    </cfRule>
    <cfRule type="cellIs" priority="8" operator="equal" aboveAverage="0" equalAverage="0" bottom="0" percent="0" rank="0" text="" dxfId="2">
      <formula>"1-30 Days"</formula>
    </cfRule>
    <cfRule type="cellIs" priority="9" operator="equal" aboveAverage="0" equalAverage="0" bottom="0" percent="0" rank="0" text="" dxfId="2">
      <formula>"31-60 Days"</formula>
    </cfRule>
    <cfRule type="cellIs" priority="10" operator="equal" aboveAverage="0" equalAverage="0" bottom="0" percent="0" rank="0" text="" dxfId="1">
      <formula>"61-90 Days"</formula>
    </cfRule>
    <cfRule type="cellIs" priority="11" operator="equal" aboveAverage="0" equalAverage="0" bottom="0" percent="0" rank="0" text="" dxfId="1">
      <formula>"90+ Days (PAR90)"</formula>
    </cfRule>
    <cfRule type="cellIs" priority="12" operator="equal" aboveAverage="0" equalAverage="0" bottom="0" percent="0" rank="0" text="" dxfId="1">
      <formula>"Written Off"</formula>
    </cfRule>
  </conditionalFormatting>
  <dataValidations count="5">
    <dataValidation allowBlank="true" error="Pick one of the listed options, or add a new option on the Lists sheet." errorStyle="stop" errorTitle="Choose from the list" operator="between" showDropDown="false" showErrorMessage="true" showInputMessage="false" sqref="D6:D55" type="list">
      <formula1>Lists!$A$2:$A$11</formula1>
      <formula2>0</formula2>
    </dataValidation>
    <dataValidation allowBlank="true" errorStyle="stop" operator="between" showDropDown="false" showErrorMessage="false" showInputMessage="false" sqref="F6:F55" type="list">
      <formula1>PRODUCTS!$B$6:$B$17</formula1>
      <formula2>0</formula2>
    </dataValidation>
    <dataValidation allowBlank="true" error="Pick one of the listed options, or add a new option on the Lists sheet." errorStyle="stop" errorTitle="Choose from the list" operator="between" showDropDown="false" showErrorMessage="true" showInputMessage="false" sqref="I6:I55" type="list">
      <formula1>Lists!$B$2:$B$3</formula1>
      <formula2>0</formula2>
    </dataValidation>
    <dataValidation allowBlank="true" error="Pick one of the listed options, or add a new option on the Lists sheet." errorStyle="stop" errorTitle="Choose from the list" operator="between" showDropDown="false" showErrorMessage="true" showInputMessage="false" sqref="M6:M55" type="list">
      <formula1>Lists!$C$2:$C$5</formula1>
      <formula2>0</formula2>
    </dataValidation>
    <dataValidation allowBlank="true" error="Pick one of the listed options, or add a new option on the Lists sheet." errorStyle="stop" errorTitle="Choose from the list" operator="between" showDropDown="false" showErrorMessage="true" showInputMessage="false" sqref="Z6:Z55" type="list">
      <formula1>Lists!$D$2:$D$6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10"/>
    <col collapsed="false" customWidth="true" hidden="false" outlineLevel="0" max="4" min="4" style="0" width="18"/>
    <col collapsed="false" customWidth="true" hidden="false" outlineLevel="0" max="5" min="5" style="0" width="16"/>
    <col collapsed="false" customWidth="true" hidden="false" outlineLevel="0" max="6" min="6" style="0" width="15"/>
    <col collapsed="false" customWidth="true" hidden="false" outlineLevel="0" max="8" min="7" style="0" width="14"/>
    <col collapsed="false" customWidth="true" hidden="false" outlineLevel="0" max="9" min="9" style="0" width="16"/>
    <col collapsed="false" customWidth="true" hidden="false" outlineLevel="0" max="10" min="10" style="0" width="26"/>
  </cols>
  <sheetData>
    <row r="1" customFormat="false" ht="16.15" hidden="false" customHeight="false" outlineLevel="0" collapsed="false">
      <c r="A1" s="9" t="s">
        <v>263</v>
      </c>
      <c r="B1" s="9"/>
      <c r="C1" s="9"/>
      <c r="D1" s="9"/>
      <c r="E1" s="9"/>
      <c r="F1" s="9"/>
      <c r="G1" s="9"/>
      <c r="H1" s="9"/>
      <c r="I1" s="9"/>
      <c r="J1" s="9"/>
    </row>
    <row r="2" customFormat="false" ht="15" hidden="false" customHeight="false" outlineLevel="0" collapsed="false">
      <c r="A2" s="10" t="s">
        <v>264</v>
      </c>
      <c r="B2" s="10"/>
      <c r="C2" s="10"/>
      <c r="D2" s="10"/>
      <c r="E2" s="10"/>
      <c r="F2" s="10"/>
      <c r="G2" s="10"/>
      <c r="H2" s="10"/>
      <c r="I2" s="10"/>
      <c r="J2" s="10"/>
    </row>
    <row r="4" customFormat="false" ht="22.35" hidden="false" customHeight="false" outlineLevel="0" collapsed="false">
      <c r="A4" s="25" t="s">
        <v>265</v>
      </c>
      <c r="B4" s="25" t="s">
        <v>14</v>
      </c>
      <c r="C4" s="25" t="s">
        <v>243</v>
      </c>
      <c r="D4" s="25" t="s">
        <v>216</v>
      </c>
      <c r="E4" s="25" t="s">
        <v>223</v>
      </c>
      <c r="F4" s="25" t="s">
        <v>266</v>
      </c>
      <c r="G4" s="25" t="s">
        <v>98</v>
      </c>
      <c r="H4" s="25" t="s">
        <v>267</v>
      </c>
      <c r="I4" s="25" t="s">
        <v>268</v>
      </c>
      <c r="J4" s="25" t="s">
        <v>160</v>
      </c>
    </row>
    <row r="5" customFormat="false" ht="22.35" hidden="false" customHeight="false" outlineLevel="0" collapsed="false">
      <c r="A5" s="26" t="s">
        <v>161</v>
      </c>
      <c r="B5" s="31" t="n">
        <v>46068</v>
      </c>
      <c r="C5" s="27" t="s">
        <v>211</v>
      </c>
      <c r="D5" s="27" t="str">
        <f aca="false">IFERROR(IF(C5="","",VLOOKUP(C5,PORTFOLIO!$A:$C,3,0)),"Loan ID not found")</f>
        <v>Example Borrower</v>
      </c>
      <c r="E5" s="27" t="str">
        <f aca="false">IFERROR(IF(C5="","",VLOOKUP(C5,PORTFOLIO!$A:$E,5,0)),"Loan ID not found")</f>
        <v>Example Loan Officer</v>
      </c>
      <c r="F5" s="28" t="n">
        <v>470735</v>
      </c>
      <c r="G5" s="27" t="s">
        <v>118</v>
      </c>
      <c r="H5" s="27" t="s">
        <v>269</v>
      </c>
      <c r="I5" s="27" t="s">
        <v>239</v>
      </c>
      <c r="J5" s="27" t="s">
        <v>198</v>
      </c>
    </row>
    <row r="6" customFormat="false" ht="15" hidden="false" customHeight="false" outlineLevel="0" collapsed="false">
      <c r="A6" s="29"/>
      <c r="B6" s="33"/>
      <c r="C6" s="29"/>
      <c r="D6" s="29" t="str">
        <f aca="false">IFERROR(IF(C6="","",VLOOKUP(C6,PORTFOLIO!$A:$C,3,0)),"Loan ID not found")</f>
        <v/>
      </c>
      <c r="E6" s="29" t="str">
        <f aca="false">IFERROR(IF(C6="","",VLOOKUP(C6,PORTFOLIO!$A:$E,5,0)),"Loan ID not found")</f>
        <v/>
      </c>
      <c r="F6" s="30"/>
      <c r="G6" s="29"/>
      <c r="H6" s="29"/>
      <c r="I6" s="29"/>
      <c r="J6" s="29"/>
    </row>
    <row r="7" customFormat="false" ht="15" hidden="false" customHeight="false" outlineLevel="0" collapsed="false">
      <c r="A7" s="29"/>
      <c r="B7" s="33"/>
      <c r="C7" s="29"/>
      <c r="D7" s="29" t="str">
        <f aca="false">IFERROR(IF(C7="","",VLOOKUP(C7,PORTFOLIO!$A:$C,3,0)),"Loan ID not found")</f>
        <v/>
      </c>
      <c r="E7" s="29" t="str">
        <f aca="false">IFERROR(IF(C7="","",VLOOKUP(C7,PORTFOLIO!$A:$E,5,0)),"Loan ID not found")</f>
        <v/>
      </c>
      <c r="F7" s="30"/>
      <c r="G7" s="29"/>
      <c r="H7" s="29"/>
      <c r="I7" s="29"/>
      <c r="J7" s="29"/>
    </row>
    <row r="8" customFormat="false" ht="15" hidden="false" customHeight="false" outlineLevel="0" collapsed="false">
      <c r="A8" s="29"/>
      <c r="B8" s="33"/>
      <c r="C8" s="29"/>
      <c r="D8" s="29" t="str">
        <f aca="false">IFERROR(IF(C8="","",VLOOKUP(C8,PORTFOLIO!$A:$C,3,0)),"Loan ID not found")</f>
        <v/>
      </c>
      <c r="E8" s="29" t="str">
        <f aca="false">IFERROR(IF(C8="","",VLOOKUP(C8,PORTFOLIO!$A:$E,5,0)),"Loan ID not found")</f>
        <v/>
      </c>
      <c r="F8" s="30"/>
      <c r="G8" s="29"/>
      <c r="H8" s="29"/>
      <c r="I8" s="29"/>
      <c r="J8" s="29"/>
    </row>
    <row r="9" customFormat="false" ht="15" hidden="false" customHeight="false" outlineLevel="0" collapsed="false">
      <c r="A9" s="29"/>
      <c r="B9" s="33"/>
      <c r="C9" s="29"/>
      <c r="D9" s="29" t="str">
        <f aca="false">IFERROR(IF(C9="","",VLOOKUP(C9,PORTFOLIO!$A:$C,3,0)),"Loan ID not found")</f>
        <v/>
      </c>
      <c r="E9" s="29" t="str">
        <f aca="false">IFERROR(IF(C9="","",VLOOKUP(C9,PORTFOLIO!$A:$E,5,0)),"Loan ID not found")</f>
        <v/>
      </c>
      <c r="F9" s="30"/>
      <c r="G9" s="29"/>
      <c r="H9" s="29"/>
      <c r="I9" s="29"/>
      <c r="J9" s="29"/>
    </row>
    <row r="10" customFormat="false" ht="15" hidden="false" customHeight="false" outlineLevel="0" collapsed="false">
      <c r="A10" s="29"/>
      <c r="B10" s="33"/>
      <c r="C10" s="29"/>
      <c r="D10" s="29" t="str">
        <f aca="false">IFERROR(IF(C10="","",VLOOKUP(C10,PORTFOLIO!$A:$C,3,0)),"Loan ID not found")</f>
        <v/>
      </c>
      <c r="E10" s="29" t="str">
        <f aca="false">IFERROR(IF(C10="","",VLOOKUP(C10,PORTFOLIO!$A:$E,5,0)),"Loan ID not found")</f>
        <v/>
      </c>
      <c r="F10" s="30"/>
      <c r="G10" s="29"/>
      <c r="H10" s="29"/>
      <c r="I10" s="29"/>
      <c r="J10" s="29"/>
    </row>
    <row r="11" customFormat="false" ht="15" hidden="false" customHeight="false" outlineLevel="0" collapsed="false">
      <c r="A11" s="29"/>
      <c r="B11" s="33"/>
      <c r="C11" s="29"/>
      <c r="D11" s="29" t="str">
        <f aca="false">IFERROR(IF(C11="","",VLOOKUP(C11,PORTFOLIO!$A:$C,3,0)),"Loan ID not found")</f>
        <v/>
      </c>
      <c r="E11" s="29" t="str">
        <f aca="false">IFERROR(IF(C11="","",VLOOKUP(C11,PORTFOLIO!$A:$E,5,0)),"Loan ID not found")</f>
        <v/>
      </c>
      <c r="F11" s="30"/>
      <c r="G11" s="29"/>
      <c r="H11" s="29"/>
      <c r="I11" s="29"/>
      <c r="J11" s="29"/>
    </row>
    <row r="12" customFormat="false" ht="15" hidden="false" customHeight="false" outlineLevel="0" collapsed="false">
      <c r="A12" s="29"/>
      <c r="B12" s="33"/>
      <c r="C12" s="29"/>
      <c r="D12" s="29" t="str">
        <f aca="false">IFERROR(IF(C12="","",VLOOKUP(C12,PORTFOLIO!$A:$C,3,0)),"Loan ID not found")</f>
        <v/>
      </c>
      <c r="E12" s="29" t="str">
        <f aca="false">IFERROR(IF(C12="","",VLOOKUP(C12,PORTFOLIO!$A:$E,5,0)),"Loan ID not found")</f>
        <v/>
      </c>
      <c r="F12" s="30"/>
      <c r="G12" s="29"/>
      <c r="H12" s="29"/>
      <c r="I12" s="29"/>
      <c r="J12" s="29"/>
    </row>
    <row r="13" customFormat="false" ht="15" hidden="false" customHeight="false" outlineLevel="0" collapsed="false">
      <c r="A13" s="29"/>
      <c r="B13" s="33"/>
      <c r="C13" s="29"/>
      <c r="D13" s="29" t="str">
        <f aca="false">IFERROR(IF(C13="","",VLOOKUP(C13,PORTFOLIO!$A:$C,3,0)),"Loan ID not found")</f>
        <v/>
      </c>
      <c r="E13" s="29" t="str">
        <f aca="false">IFERROR(IF(C13="","",VLOOKUP(C13,PORTFOLIO!$A:$E,5,0)),"Loan ID not found")</f>
        <v/>
      </c>
      <c r="F13" s="30"/>
      <c r="G13" s="29"/>
      <c r="H13" s="29"/>
      <c r="I13" s="29"/>
      <c r="J13" s="29"/>
    </row>
    <row r="14" customFormat="false" ht="15" hidden="false" customHeight="false" outlineLevel="0" collapsed="false">
      <c r="A14" s="29"/>
      <c r="B14" s="33"/>
      <c r="C14" s="29"/>
      <c r="D14" s="29" t="str">
        <f aca="false">IFERROR(IF(C14="","",VLOOKUP(C14,PORTFOLIO!$A:$C,3,0)),"Loan ID not found")</f>
        <v/>
      </c>
      <c r="E14" s="29" t="str">
        <f aca="false">IFERROR(IF(C14="","",VLOOKUP(C14,PORTFOLIO!$A:$E,5,0)),"Loan ID not found")</f>
        <v/>
      </c>
      <c r="F14" s="30"/>
      <c r="G14" s="29"/>
      <c r="H14" s="29"/>
      <c r="I14" s="29"/>
      <c r="J14" s="29"/>
    </row>
    <row r="15" customFormat="false" ht="15" hidden="false" customHeight="false" outlineLevel="0" collapsed="false">
      <c r="A15" s="29"/>
      <c r="B15" s="33"/>
      <c r="C15" s="29"/>
      <c r="D15" s="29" t="str">
        <f aca="false">IFERROR(IF(C15="","",VLOOKUP(C15,PORTFOLIO!$A:$C,3,0)),"Loan ID not found")</f>
        <v/>
      </c>
      <c r="E15" s="29" t="str">
        <f aca="false">IFERROR(IF(C15="","",VLOOKUP(C15,PORTFOLIO!$A:$E,5,0)),"Loan ID not found")</f>
        <v/>
      </c>
      <c r="F15" s="30"/>
      <c r="G15" s="29"/>
      <c r="H15" s="29"/>
      <c r="I15" s="29"/>
      <c r="J15" s="29"/>
    </row>
    <row r="16" customFormat="false" ht="15" hidden="false" customHeight="false" outlineLevel="0" collapsed="false">
      <c r="A16" s="29"/>
      <c r="B16" s="33"/>
      <c r="C16" s="29"/>
      <c r="D16" s="29" t="str">
        <f aca="false">IFERROR(IF(C16="","",VLOOKUP(C16,PORTFOLIO!$A:$C,3,0)),"Loan ID not found")</f>
        <v/>
      </c>
      <c r="E16" s="29" t="str">
        <f aca="false">IFERROR(IF(C16="","",VLOOKUP(C16,PORTFOLIO!$A:$E,5,0)),"Loan ID not found")</f>
        <v/>
      </c>
      <c r="F16" s="30"/>
      <c r="G16" s="29"/>
      <c r="H16" s="29"/>
      <c r="I16" s="29"/>
      <c r="J16" s="29"/>
    </row>
    <row r="17" customFormat="false" ht="15" hidden="false" customHeight="false" outlineLevel="0" collapsed="false">
      <c r="A17" s="29"/>
      <c r="B17" s="33"/>
      <c r="C17" s="29"/>
      <c r="D17" s="29" t="str">
        <f aca="false">IFERROR(IF(C17="","",VLOOKUP(C17,PORTFOLIO!$A:$C,3,0)),"Loan ID not found")</f>
        <v/>
      </c>
      <c r="E17" s="29" t="str">
        <f aca="false">IFERROR(IF(C17="","",VLOOKUP(C17,PORTFOLIO!$A:$E,5,0)),"Loan ID not found")</f>
        <v/>
      </c>
      <c r="F17" s="30"/>
      <c r="G17" s="29"/>
      <c r="H17" s="29"/>
      <c r="I17" s="29"/>
      <c r="J17" s="29"/>
    </row>
    <row r="18" customFormat="false" ht="15" hidden="false" customHeight="false" outlineLevel="0" collapsed="false">
      <c r="A18" s="29"/>
      <c r="B18" s="33"/>
      <c r="C18" s="29"/>
      <c r="D18" s="29" t="str">
        <f aca="false">IFERROR(IF(C18="","",VLOOKUP(C18,PORTFOLIO!$A:$C,3,0)),"Loan ID not found")</f>
        <v/>
      </c>
      <c r="E18" s="29" t="str">
        <f aca="false">IFERROR(IF(C18="","",VLOOKUP(C18,PORTFOLIO!$A:$E,5,0)),"Loan ID not found")</f>
        <v/>
      </c>
      <c r="F18" s="30"/>
      <c r="G18" s="29"/>
      <c r="H18" s="29"/>
      <c r="I18" s="29"/>
      <c r="J18" s="29"/>
    </row>
    <row r="19" customFormat="false" ht="15" hidden="false" customHeight="false" outlineLevel="0" collapsed="false">
      <c r="A19" s="29"/>
      <c r="B19" s="33"/>
      <c r="C19" s="29"/>
      <c r="D19" s="29" t="str">
        <f aca="false">IFERROR(IF(C19="","",VLOOKUP(C19,PORTFOLIO!$A:$C,3,0)),"Loan ID not found")</f>
        <v/>
      </c>
      <c r="E19" s="29" t="str">
        <f aca="false">IFERROR(IF(C19="","",VLOOKUP(C19,PORTFOLIO!$A:$E,5,0)),"Loan ID not found")</f>
        <v/>
      </c>
      <c r="F19" s="30"/>
      <c r="G19" s="29"/>
      <c r="H19" s="29"/>
      <c r="I19" s="29"/>
      <c r="J19" s="29"/>
    </row>
    <row r="20" customFormat="false" ht="15" hidden="false" customHeight="false" outlineLevel="0" collapsed="false">
      <c r="A20" s="29"/>
      <c r="B20" s="33"/>
      <c r="C20" s="29"/>
      <c r="D20" s="29" t="str">
        <f aca="false">IFERROR(IF(C20="","",VLOOKUP(C20,PORTFOLIO!$A:$C,3,0)),"Loan ID not found")</f>
        <v/>
      </c>
      <c r="E20" s="29" t="str">
        <f aca="false">IFERROR(IF(C20="","",VLOOKUP(C20,PORTFOLIO!$A:$E,5,0)),"Loan ID not found")</f>
        <v/>
      </c>
      <c r="F20" s="30"/>
      <c r="G20" s="29"/>
      <c r="H20" s="29"/>
      <c r="I20" s="29"/>
      <c r="J20" s="29"/>
    </row>
    <row r="21" customFormat="false" ht="15" hidden="false" customHeight="false" outlineLevel="0" collapsed="false">
      <c r="A21" s="29"/>
      <c r="B21" s="33"/>
      <c r="C21" s="29"/>
      <c r="D21" s="29" t="str">
        <f aca="false">IFERROR(IF(C21="","",VLOOKUP(C21,PORTFOLIO!$A:$C,3,0)),"Loan ID not found")</f>
        <v/>
      </c>
      <c r="E21" s="29" t="str">
        <f aca="false">IFERROR(IF(C21="","",VLOOKUP(C21,PORTFOLIO!$A:$E,5,0)),"Loan ID not found")</f>
        <v/>
      </c>
      <c r="F21" s="30"/>
      <c r="G21" s="29"/>
      <c r="H21" s="29"/>
      <c r="I21" s="29"/>
      <c r="J21" s="29"/>
    </row>
    <row r="22" customFormat="false" ht="15" hidden="false" customHeight="false" outlineLevel="0" collapsed="false">
      <c r="A22" s="29"/>
      <c r="B22" s="33"/>
      <c r="C22" s="29"/>
      <c r="D22" s="29" t="str">
        <f aca="false">IFERROR(IF(C22="","",VLOOKUP(C22,PORTFOLIO!$A:$C,3,0)),"Loan ID not found")</f>
        <v/>
      </c>
      <c r="E22" s="29" t="str">
        <f aca="false">IFERROR(IF(C22="","",VLOOKUP(C22,PORTFOLIO!$A:$E,5,0)),"Loan ID not found")</f>
        <v/>
      </c>
      <c r="F22" s="30"/>
      <c r="G22" s="29"/>
      <c r="H22" s="29"/>
      <c r="I22" s="29"/>
      <c r="J22" s="29"/>
    </row>
    <row r="23" customFormat="false" ht="15" hidden="false" customHeight="false" outlineLevel="0" collapsed="false">
      <c r="A23" s="29"/>
      <c r="B23" s="33"/>
      <c r="C23" s="29"/>
      <c r="D23" s="29" t="str">
        <f aca="false">IFERROR(IF(C23="","",VLOOKUP(C23,PORTFOLIO!$A:$C,3,0)),"Loan ID not found")</f>
        <v/>
      </c>
      <c r="E23" s="29" t="str">
        <f aca="false">IFERROR(IF(C23="","",VLOOKUP(C23,PORTFOLIO!$A:$E,5,0)),"Loan ID not found")</f>
        <v/>
      </c>
      <c r="F23" s="30"/>
      <c r="G23" s="29"/>
      <c r="H23" s="29"/>
      <c r="I23" s="29"/>
      <c r="J23" s="29"/>
    </row>
    <row r="24" customFormat="false" ht="15" hidden="false" customHeight="false" outlineLevel="0" collapsed="false">
      <c r="A24" s="29"/>
      <c r="B24" s="33"/>
      <c r="C24" s="29"/>
      <c r="D24" s="29" t="str">
        <f aca="false">IFERROR(IF(C24="","",VLOOKUP(C24,PORTFOLIO!$A:$C,3,0)),"Loan ID not found")</f>
        <v/>
      </c>
      <c r="E24" s="29" t="str">
        <f aca="false">IFERROR(IF(C24="","",VLOOKUP(C24,PORTFOLIO!$A:$E,5,0)),"Loan ID not found")</f>
        <v/>
      </c>
      <c r="F24" s="30"/>
      <c r="G24" s="29"/>
      <c r="H24" s="29"/>
      <c r="I24" s="29"/>
      <c r="J24" s="29"/>
    </row>
    <row r="25" customFormat="false" ht="15" hidden="false" customHeight="false" outlineLevel="0" collapsed="false">
      <c r="A25" s="29"/>
      <c r="B25" s="33"/>
      <c r="C25" s="29"/>
      <c r="D25" s="29" t="str">
        <f aca="false">IFERROR(IF(C25="","",VLOOKUP(C25,PORTFOLIO!$A:$C,3,0)),"Loan ID not found")</f>
        <v/>
      </c>
      <c r="E25" s="29" t="str">
        <f aca="false">IFERROR(IF(C25="","",VLOOKUP(C25,PORTFOLIO!$A:$E,5,0)),"Loan ID not found")</f>
        <v/>
      </c>
      <c r="F25" s="30"/>
      <c r="G25" s="29"/>
      <c r="H25" s="29"/>
      <c r="I25" s="29"/>
      <c r="J25" s="29"/>
    </row>
    <row r="26" customFormat="false" ht="15" hidden="false" customHeight="false" outlineLevel="0" collapsed="false">
      <c r="A26" s="29"/>
      <c r="B26" s="33"/>
      <c r="C26" s="29"/>
      <c r="D26" s="29" t="str">
        <f aca="false">IFERROR(IF(C26="","",VLOOKUP(C26,PORTFOLIO!$A:$C,3,0)),"Loan ID not found")</f>
        <v/>
      </c>
      <c r="E26" s="29" t="str">
        <f aca="false">IFERROR(IF(C26="","",VLOOKUP(C26,PORTFOLIO!$A:$E,5,0)),"Loan ID not found")</f>
        <v/>
      </c>
      <c r="F26" s="30"/>
      <c r="G26" s="29"/>
      <c r="H26" s="29"/>
      <c r="I26" s="29"/>
      <c r="J26" s="29"/>
    </row>
    <row r="27" customFormat="false" ht="15" hidden="false" customHeight="false" outlineLevel="0" collapsed="false">
      <c r="A27" s="29"/>
      <c r="B27" s="33"/>
      <c r="C27" s="29"/>
      <c r="D27" s="29" t="str">
        <f aca="false">IFERROR(IF(C27="","",VLOOKUP(C27,PORTFOLIO!$A:$C,3,0)),"Loan ID not found")</f>
        <v/>
      </c>
      <c r="E27" s="29" t="str">
        <f aca="false">IFERROR(IF(C27="","",VLOOKUP(C27,PORTFOLIO!$A:$E,5,0)),"Loan ID not found")</f>
        <v/>
      </c>
      <c r="F27" s="30"/>
      <c r="G27" s="29"/>
      <c r="H27" s="29"/>
      <c r="I27" s="29"/>
      <c r="J27" s="29"/>
    </row>
    <row r="28" customFormat="false" ht="15" hidden="false" customHeight="false" outlineLevel="0" collapsed="false">
      <c r="A28" s="29"/>
      <c r="B28" s="33"/>
      <c r="C28" s="29"/>
      <c r="D28" s="29" t="str">
        <f aca="false">IFERROR(IF(C28="","",VLOOKUP(C28,PORTFOLIO!$A:$C,3,0)),"Loan ID not found")</f>
        <v/>
      </c>
      <c r="E28" s="29" t="str">
        <f aca="false">IFERROR(IF(C28="","",VLOOKUP(C28,PORTFOLIO!$A:$E,5,0)),"Loan ID not found")</f>
        <v/>
      </c>
      <c r="F28" s="30"/>
      <c r="G28" s="29"/>
      <c r="H28" s="29"/>
      <c r="I28" s="29"/>
      <c r="J28" s="29"/>
    </row>
    <row r="29" customFormat="false" ht="15" hidden="false" customHeight="false" outlineLevel="0" collapsed="false">
      <c r="A29" s="29"/>
      <c r="B29" s="33"/>
      <c r="C29" s="29"/>
      <c r="D29" s="29" t="str">
        <f aca="false">IFERROR(IF(C29="","",VLOOKUP(C29,PORTFOLIO!$A:$C,3,0)),"Loan ID not found")</f>
        <v/>
      </c>
      <c r="E29" s="29" t="str">
        <f aca="false">IFERROR(IF(C29="","",VLOOKUP(C29,PORTFOLIO!$A:$E,5,0)),"Loan ID not found")</f>
        <v/>
      </c>
      <c r="F29" s="30"/>
      <c r="G29" s="29"/>
      <c r="H29" s="29"/>
      <c r="I29" s="29"/>
      <c r="J29" s="29"/>
    </row>
    <row r="30" customFormat="false" ht="15" hidden="false" customHeight="false" outlineLevel="0" collapsed="false">
      <c r="A30" s="29"/>
      <c r="B30" s="33"/>
      <c r="C30" s="29"/>
      <c r="D30" s="29" t="str">
        <f aca="false">IFERROR(IF(C30="","",VLOOKUP(C30,PORTFOLIO!$A:$C,3,0)),"Loan ID not found")</f>
        <v/>
      </c>
      <c r="E30" s="29" t="str">
        <f aca="false">IFERROR(IF(C30="","",VLOOKUP(C30,PORTFOLIO!$A:$E,5,0)),"Loan ID not found")</f>
        <v/>
      </c>
      <c r="F30" s="30"/>
      <c r="G30" s="29"/>
      <c r="H30" s="29"/>
      <c r="I30" s="29"/>
      <c r="J30" s="29"/>
    </row>
    <row r="31" customFormat="false" ht="15" hidden="false" customHeight="false" outlineLevel="0" collapsed="false">
      <c r="A31" s="29"/>
      <c r="B31" s="33"/>
      <c r="C31" s="29"/>
      <c r="D31" s="29" t="str">
        <f aca="false">IFERROR(IF(C31="","",VLOOKUP(C31,PORTFOLIO!$A:$C,3,0)),"Loan ID not found")</f>
        <v/>
      </c>
      <c r="E31" s="29" t="str">
        <f aca="false">IFERROR(IF(C31="","",VLOOKUP(C31,PORTFOLIO!$A:$E,5,0)),"Loan ID not found")</f>
        <v/>
      </c>
      <c r="F31" s="30"/>
      <c r="G31" s="29"/>
      <c r="H31" s="29"/>
      <c r="I31" s="29"/>
      <c r="J31" s="29"/>
    </row>
    <row r="32" customFormat="false" ht="15" hidden="false" customHeight="false" outlineLevel="0" collapsed="false">
      <c r="A32" s="29"/>
      <c r="B32" s="33"/>
      <c r="C32" s="29"/>
      <c r="D32" s="29" t="str">
        <f aca="false">IFERROR(IF(C32="","",VLOOKUP(C32,PORTFOLIO!$A:$C,3,0)),"Loan ID not found")</f>
        <v/>
      </c>
      <c r="E32" s="29" t="str">
        <f aca="false">IFERROR(IF(C32="","",VLOOKUP(C32,PORTFOLIO!$A:$E,5,0)),"Loan ID not found")</f>
        <v/>
      </c>
      <c r="F32" s="30"/>
      <c r="G32" s="29"/>
      <c r="H32" s="29"/>
      <c r="I32" s="29"/>
      <c r="J32" s="29"/>
    </row>
    <row r="33" customFormat="false" ht="15" hidden="false" customHeight="false" outlineLevel="0" collapsed="false">
      <c r="A33" s="29"/>
      <c r="B33" s="33"/>
      <c r="C33" s="29"/>
      <c r="D33" s="29" t="str">
        <f aca="false">IFERROR(IF(C33="","",VLOOKUP(C33,PORTFOLIO!$A:$C,3,0)),"Loan ID not found")</f>
        <v/>
      </c>
      <c r="E33" s="29" t="str">
        <f aca="false">IFERROR(IF(C33="","",VLOOKUP(C33,PORTFOLIO!$A:$E,5,0)),"Loan ID not found")</f>
        <v/>
      </c>
      <c r="F33" s="30"/>
      <c r="G33" s="29"/>
      <c r="H33" s="29"/>
      <c r="I33" s="29"/>
      <c r="J33" s="29"/>
    </row>
    <row r="34" customFormat="false" ht="15" hidden="false" customHeight="false" outlineLevel="0" collapsed="false">
      <c r="A34" s="29"/>
      <c r="B34" s="33"/>
      <c r="C34" s="29"/>
      <c r="D34" s="29" t="str">
        <f aca="false">IFERROR(IF(C34="","",VLOOKUP(C34,PORTFOLIO!$A:$C,3,0)),"Loan ID not found")</f>
        <v/>
      </c>
      <c r="E34" s="29" t="str">
        <f aca="false">IFERROR(IF(C34="","",VLOOKUP(C34,PORTFOLIO!$A:$E,5,0)),"Loan ID not found")</f>
        <v/>
      </c>
      <c r="F34" s="30"/>
      <c r="G34" s="29"/>
      <c r="H34" s="29"/>
      <c r="I34" s="29"/>
      <c r="J34" s="29"/>
    </row>
    <row r="35" customFormat="false" ht="15" hidden="false" customHeight="false" outlineLevel="0" collapsed="false">
      <c r="A35" s="29"/>
      <c r="B35" s="33"/>
      <c r="C35" s="29"/>
      <c r="D35" s="29" t="str">
        <f aca="false">IFERROR(IF(C35="","",VLOOKUP(C35,PORTFOLIO!$A:$C,3,0)),"Loan ID not found")</f>
        <v/>
      </c>
      <c r="E35" s="29" t="str">
        <f aca="false">IFERROR(IF(C35="","",VLOOKUP(C35,PORTFOLIO!$A:$E,5,0)),"Loan ID not found")</f>
        <v/>
      </c>
      <c r="F35" s="30"/>
      <c r="G35" s="29"/>
      <c r="H35" s="29"/>
      <c r="I35" s="29"/>
      <c r="J35" s="29"/>
    </row>
    <row r="36" customFormat="false" ht="15" hidden="false" customHeight="false" outlineLevel="0" collapsed="false">
      <c r="A36" s="29"/>
      <c r="B36" s="33"/>
      <c r="C36" s="29"/>
      <c r="D36" s="29" t="str">
        <f aca="false">IFERROR(IF(C36="","",VLOOKUP(C36,PORTFOLIO!$A:$C,3,0)),"Loan ID not found")</f>
        <v/>
      </c>
      <c r="E36" s="29" t="str">
        <f aca="false">IFERROR(IF(C36="","",VLOOKUP(C36,PORTFOLIO!$A:$E,5,0)),"Loan ID not found")</f>
        <v/>
      </c>
      <c r="F36" s="30"/>
      <c r="G36" s="29"/>
      <c r="H36" s="29"/>
      <c r="I36" s="29"/>
      <c r="J36" s="29"/>
    </row>
    <row r="37" customFormat="false" ht="15" hidden="false" customHeight="false" outlineLevel="0" collapsed="false">
      <c r="A37" s="29"/>
      <c r="B37" s="33"/>
      <c r="C37" s="29"/>
      <c r="D37" s="29" t="str">
        <f aca="false">IFERROR(IF(C37="","",VLOOKUP(C37,PORTFOLIO!$A:$C,3,0)),"Loan ID not found")</f>
        <v/>
      </c>
      <c r="E37" s="29" t="str">
        <f aca="false">IFERROR(IF(C37="","",VLOOKUP(C37,PORTFOLIO!$A:$E,5,0)),"Loan ID not found")</f>
        <v/>
      </c>
      <c r="F37" s="30"/>
      <c r="G37" s="29"/>
      <c r="H37" s="29"/>
      <c r="I37" s="29"/>
      <c r="J37" s="29"/>
    </row>
    <row r="38" customFormat="false" ht="15" hidden="false" customHeight="false" outlineLevel="0" collapsed="false">
      <c r="A38" s="29"/>
      <c r="B38" s="33"/>
      <c r="C38" s="29"/>
      <c r="D38" s="29" t="str">
        <f aca="false">IFERROR(IF(C38="","",VLOOKUP(C38,PORTFOLIO!$A:$C,3,0)),"Loan ID not found")</f>
        <v/>
      </c>
      <c r="E38" s="29" t="str">
        <f aca="false">IFERROR(IF(C38="","",VLOOKUP(C38,PORTFOLIO!$A:$E,5,0)),"Loan ID not found")</f>
        <v/>
      </c>
      <c r="F38" s="30"/>
      <c r="G38" s="29"/>
      <c r="H38" s="29"/>
      <c r="I38" s="29"/>
      <c r="J38" s="29"/>
    </row>
    <row r="39" customFormat="false" ht="15" hidden="false" customHeight="false" outlineLevel="0" collapsed="false">
      <c r="A39" s="29"/>
      <c r="B39" s="33"/>
      <c r="C39" s="29"/>
      <c r="D39" s="29" t="str">
        <f aca="false">IFERROR(IF(C39="","",VLOOKUP(C39,PORTFOLIO!$A:$C,3,0)),"Loan ID not found")</f>
        <v/>
      </c>
      <c r="E39" s="29" t="str">
        <f aca="false">IFERROR(IF(C39="","",VLOOKUP(C39,PORTFOLIO!$A:$E,5,0)),"Loan ID not found")</f>
        <v/>
      </c>
      <c r="F39" s="30"/>
      <c r="G39" s="29"/>
      <c r="H39" s="29"/>
      <c r="I39" s="29"/>
      <c r="J39" s="29"/>
    </row>
    <row r="40" customFormat="false" ht="15" hidden="false" customHeight="false" outlineLevel="0" collapsed="false">
      <c r="A40" s="29"/>
      <c r="B40" s="33"/>
      <c r="C40" s="29"/>
      <c r="D40" s="29" t="str">
        <f aca="false">IFERROR(IF(C40="","",VLOOKUP(C40,PORTFOLIO!$A:$C,3,0)),"Loan ID not found")</f>
        <v/>
      </c>
      <c r="E40" s="29" t="str">
        <f aca="false">IFERROR(IF(C40="","",VLOOKUP(C40,PORTFOLIO!$A:$E,5,0)),"Loan ID not found")</f>
        <v/>
      </c>
      <c r="F40" s="30"/>
      <c r="G40" s="29"/>
      <c r="H40" s="29"/>
      <c r="I40" s="29"/>
      <c r="J40" s="29"/>
    </row>
    <row r="41" customFormat="false" ht="15" hidden="false" customHeight="false" outlineLevel="0" collapsed="false">
      <c r="A41" s="29"/>
      <c r="B41" s="33"/>
      <c r="C41" s="29"/>
      <c r="D41" s="29" t="str">
        <f aca="false">IFERROR(IF(C41="","",VLOOKUP(C41,PORTFOLIO!$A:$C,3,0)),"Loan ID not found")</f>
        <v/>
      </c>
      <c r="E41" s="29" t="str">
        <f aca="false">IFERROR(IF(C41="","",VLOOKUP(C41,PORTFOLIO!$A:$E,5,0)),"Loan ID not found")</f>
        <v/>
      </c>
      <c r="F41" s="30"/>
      <c r="G41" s="29"/>
      <c r="H41" s="29"/>
      <c r="I41" s="29"/>
      <c r="J41" s="29"/>
    </row>
    <row r="42" customFormat="false" ht="15" hidden="false" customHeight="false" outlineLevel="0" collapsed="false">
      <c r="A42" s="29"/>
      <c r="B42" s="33"/>
      <c r="C42" s="29"/>
      <c r="D42" s="29" t="str">
        <f aca="false">IFERROR(IF(C42="","",VLOOKUP(C42,PORTFOLIO!$A:$C,3,0)),"Loan ID not found")</f>
        <v/>
      </c>
      <c r="E42" s="29" t="str">
        <f aca="false">IFERROR(IF(C42="","",VLOOKUP(C42,PORTFOLIO!$A:$E,5,0)),"Loan ID not found")</f>
        <v/>
      </c>
      <c r="F42" s="30"/>
      <c r="G42" s="29"/>
      <c r="H42" s="29"/>
      <c r="I42" s="29"/>
      <c r="J42" s="29"/>
    </row>
    <row r="43" customFormat="false" ht="15" hidden="false" customHeight="false" outlineLevel="0" collapsed="false">
      <c r="A43" s="29"/>
      <c r="B43" s="33"/>
      <c r="C43" s="29"/>
      <c r="D43" s="29" t="str">
        <f aca="false">IFERROR(IF(C43="","",VLOOKUP(C43,PORTFOLIO!$A:$C,3,0)),"Loan ID not found")</f>
        <v/>
      </c>
      <c r="E43" s="29" t="str">
        <f aca="false">IFERROR(IF(C43="","",VLOOKUP(C43,PORTFOLIO!$A:$E,5,0)),"Loan ID not found")</f>
        <v/>
      </c>
      <c r="F43" s="30"/>
      <c r="G43" s="29"/>
      <c r="H43" s="29"/>
      <c r="I43" s="29"/>
      <c r="J43" s="29"/>
    </row>
    <row r="44" customFormat="false" ht="15" hidden="false" customHeight="false" outlineLevel="0" collapsed="false">
      <c r="A44" s="29"/>
      <c r="B44" s="33"/>
      <c r="C44" s="29"/>
      <c r="D44" s="29" t="str">
        <f aca="false">IFERROR(IF(C44="","",VLOOKUP(C44,PORTFOLIO!$A:$C,3,0)),"Loan ID not found")</f>
        <v/>
      </c>
      <c r="E44" s="29" t="str">
        <f aca="false">IFERROR(IF(C44="","",VLOOKUP(C44,PORTFOLIO!$A:$E,5,0)),"Loan ID not found")</f>
        <v/>
      </c>
      <c r="F44" s="30"/>
      <c r="G44" s="29"/>
      <c r="H44" s="29"/>
      <c r="I44" s="29"/>
      <c r="J44" s="29"/>
    </row>
    <row r="45" customFormat="false" ht="15" hidden="false" customHeight="false" outlineLevel="0" collapsed="false">
      <c r="A45" s="29"/>
      <c r="B45" s="33"/>
      <c r="C45" s="29"/>
      <c r="D45" s="29" t="str">
        <f aca="false">IFERROR(IF(C45="","",VLOOKUP(C45,PORTFOLIO!$A:$C,3,0)),"Loan ID not found")</f>
        <v/>
      </c>
      <c r="E45" s="29" t="str">
        <f aca="false">IFERROR(IF(C45="","",VLOOKUP(C45,PORTFOLIO!$A:$E,5,0)),"Loan ID not found")</f>
        <v/>
      </c>
      <c r="F45" s="30"/>
      <c r="G45" s="29"/>
      <c r="H45" s="29"/>
      <c r="I45" s="29"/>
      <c r="J45" s="29"/>
    </row>
    <row r="46" customFormat="false" ht="15" hidden="false" customHeight="false" outlineLevel="0" collapsed="false">
      <c r="A46" s="29"/>
      <c r="B46" s="33"/>
      <c r="C46" s="29"/>
      <c r="D46" s="29" t="str">
        <f aca="false">IFERROR(IF(C46="","",VLOOKUP(C46,PORTFOLIO!$A:$C,3,0)),"Loan ID not found")</f>
        <v/>
      </c>
      <c r="E46" s="29" t="str">
        <f aca="false">IFERROR(IF(C46="","",VLOOKUP(C46,PORTFOLIO!$A:$E,5,0)),"Loan ID not found")</f>
        <v/>
      </c>
      <c r="F46" s="30"/>
      <c r="G46" s="29"/>
      <c r="H46" s="29"/>
      <c r="I46" s="29"/>
      <c r="J46" s="29"/>
    </row>
    <row r="47" customFormat="false" ht="15" hidden="false" customHeight="false" outlineLevel="0" collapsed="false">
      <c r="A47" s="29"/>
      <c r="B47" s="33"/>
      <c r="C47" s="29"/>
      <c r="D47" s="29" t="str">
        <f aca="false">IFERROR(IF(C47="","",VLOOKUP(C47,PORTFOLIO!$A:$C,3,0)),"Loan ID not found")</f>
        <v/>
      </c>
      <c r="E47" s="29" t="str">
        <f aca="false">IFERROR(IF(C47="","",VLOOKUP(C47,PORTFOLIO!$A:$E,5,0)),"Loan ID not found")</f>
        <v/>
      </c>
      <c r="F47" s="30"/>
      <c r="G47" s="29"/>
      <c r="H47" s="29"/>
      <c r="I47" s="29"/>
      <c r="J47" s="29"/>
    </row>
    <row r="48" customFormat="false" ht="15" hidden="false" customHeight="false" outlineLevel="0" collapsed="false">
      <c r="A48" s="29"/>
      <c r="B48" s="33"/>
      <c r="C48" s="29"/>
      <c r="D48" s="29" t="str">
        <f aca="false">IFERROR(IF(C48="","",VLOOKUP(C48,PORTFOLIO!$A:$C,3,0)),"Loan ID not found")</f>
        <v/>
      </c>
      <c r="E48" s="29" t="str">
        <f aca="false">IFERROR(IF(C48="","",VLOOKUP(C48,PORTFOLIO!$A:$E,5,0)),"Loan ID not found")</f>
        <v/>
      </c>
      <c r="F48" s="30"/>
      <c r="G48" s="29"/>
      <c r="H48" s="29"/>
      <c r="I48" s="29"/>
      <c r="J48" s="29"/>
    </row>
    <row r="49" customFormat="false" ht="15" hidden="false" customHeight="false" outlineLevel="0" collapsed="false">
      <c r="A49" s="29"/>
      <c r="B49" s="33"/>
      <c r="C49" s="29"/>
      <c r="D49" s="29" t="str">
        <f aca="false">IFERROR(IF(C49="","",VLOOKUP(C49,PORTFOLIO!$A:$C,3,0)),"Loan ID not found")</f>
        <v/>
      </c>
      <c r="E49" s="29" t="str">
        <f aca="false">IFERROR(IF(C49="","",VLOOKUP(C49,PORTFOLIO!$A:$E,5,0)),"Loan ID not found")</f>
        <v/>
      </c>
      <c r="F49" s="30"/>
      <c r="G49" s="29"/>
      <c r="H49" s="29"/>
      <c r="I49" s="29"/>
      <c r="J49" s="29"/>
    </row>
    <row r="50" customFormat="false" ht="15" hidden="false" customHeight="false" outlineLevel="0" collapsed="false">
      <c r="A50" s="29"/>
      <c r="B50" s="33"/>
      <c r="C50" s="29"/>
      <c r="D50" s="29" t="str">
        <f aca="false">IFERROR(IF(C50="","",VLOOKUP(C50,PORTFOLIO!$A:$C,3,0)),"Loan ID not found")</f>
        <v/>
      </c>
      <c r="E50" s="29" t="str">
        <f aca="false">IFERROR(IF(C50="","",VLOOKUP(C50,PORTFOLIO!$A:$E,5,0)),"Loan ID not found")</f>
        <v/>
      </c>
      <c r="F50" s="30"/>
      <c r="G50" s="29"/>
      <c r="H50" s="29"/>
      <c r="I50" s="29"/>
      <c r="J50" s="29"/>
    </row>
    <row r="51" customFormat="false" ht="15" hidden="false" customHeight="false" outlineLevel="0" collapsed="false">
      <c r="A51" s="29"/>
      <c r="B51" s="33"/>
      <c r="C51" s="29"/>
      <c r="D51" s="29" t="str">
        <f aca="false">IFERROR(IF(C51="","",VLOOKUP(C51,PORTFOLIO!$A:$C,3,0)),"Loan ID not found")</f>
        <v/>
      </c>
      <c r="E51" s="29" t="str">
        <f aca="false">IFERROR(IF(C51="","",VLOOKUP(C51,PORTFOLIO!$A:$E,5,0)),"Loan ID not found")</f>
        <v/>
      </c>
      <c r="F51" s="30"/>
      <c r="G51" s="29"/>
      <c r="H51" s="29"/>
      <c r="I51" s="29"/>
      <c r="J51" s="29"/>
    </row>
    <row r="52" customFormat="false" ht="15" hidden="false" customHeight="false" outlineLevel="0" collapsed="false">
      <c r="A52" s="29"/>
      <c r="B52" s="33"/>
      <c r="C52" s="29"/>
      <c r="D52" s="29" t="str">
        <f aca="false">IFERROR(IF(C52="","",VLOOKUP(C52,PORTFOLIO!$A:$C,3,0)),"Loan ID not found")</f>
        <v/>
      </c>
      <c r="E52" s="29" t="str">
        <f aca="false">IFERROR(IF(C52="","",VLOOKUP(C52,PORTFOLIO!$A:$E,5,0)),"Loan ID not found")</f>
        <v/>
      </c>
      <c r="F52" s="30"/>
      <c r="G52" s="29"/>
      <c r="H52" s="29"/>
      <c r="I52" s="29"/>
      <c r="J52" s="29"/>
    </row>
    <row r="53" customFormat="false" ht="15" hidden="false" customHeight="false" outlineLevel="0" collapsed="false">
      <c r="A53" s="29"/>
      <c r="B53" s="33"/>
      <c r="C53" s="29"/>
      <c r="D53" s="29" t="str">
        <f aca="false">IFERROR(IF(C53="","",VLOOKUP(C53,PORTFOLIO!$A:$C,3,0)),"Loan ID not found")</f>
        <v/>
      </c>
      <c r="E53" s="29" t="str">
        <f aca="false">IFERROR(IF(C53="","",VLOOKUP(C53,PORTFOLIO!$A:$E,5,0)),"Loan ID not found")</f>
        <v/>
      </c>
      <c r="F53" s="30"/>
      <c r="G53" s="29"/>
      <c r="H53" s="29"/>
      <c r="I53" s="29"/>
      <c r="J53" s="29"/>
    </row>
    <row r="54" customFormat="false" ht="15" hidden="false" customHeight="false" outlineLevel="0" collapsed="false">
      <c r="A54" s="29"/>
      <c r="B54" s="33"/>
      <c r="C54" s="29"/>
      <c r="D54" s="29" t="str">
        <f aca="false">IFERROR(IF(C54="","",VLOOKUP(C54,PORTFOLIO!$A:$C,3,0)),"Loan ID not found")</f>
        <v/>
      </c>
      <c r="E54" s="29" t="str">
        <f aca="false">IFERROR(IF(C54="","",VLOOKUP(C54,PORTFOLIO!$A:$E,5,0)),"Loan ID not found")</f>
        <v/>
      </c>
      <c r="F54" s="30"/>
      <c r="G54" s="29"/>
      <c r="H54" s="29"/>
      <c r="I54" s="29"/>
      <c r="J54" s="29"/>
    </row>
    <row r="55" customFormat="false" ht="15" hidden="false" customHeight="false" outlineLevel="0" collapsed="false">
      <c r="A55" s="29"/>
      <c r="B55" s="33"/>
      <c r="C55" s="29"/>
      <c r="D55" s="29" t="str">
        <f aca="false">IFERROR(IF(C55="","",VLOOKUP(C55,PORTFOLIO!$A:$C,3,0)),"Loan ID not found")</f>
        <v/>
      </c>
      <c r="E55" s="29" t="str">
        <f aca="false">IFERROR(IF(C55="","",VLOOKUP(C55,PORTFOLIO!$A:$E,5,0)),"Loan ID not found")</f>
        <v/>
      </c>
      <c r="F55" s="30"/>
      <c r="G55" s="29"/>
      <c r="H55" s="29"/>
      <c r="I55" s="29"/>
      <c r="J55" s="29"/>
    </row>
    <row r="56" customFormat="false" ht="15" hidden="false" customHeight="false" outlineLevel="0" collapsed="false">
      <c r="A56" s="29"/>
      <c r="B56" s="33"/>
      <c r="C56" s="29"/>
      <c r="D56" s="29" t="str">
        <f aca="false">IFERROR(IF(C56="","",VLOOKUP(C56,PORTFOLIO!$A:$C,3,0)),"Loan ID not found")</f>
        <v/>
      </c>
      <c r="E56" s="29" t="str">
        <f aca="false">IFERROR(IF(C56="","",VLOOKUP(C56,PORTFOLIO!$A:$E,5,0)),"Loan ID not found")</f>
        <v/>
      </c>
      <c r="F56" s="30"/>
      <c r="G56" s="29"/>
      <c r="H56" s="29"/>
      <c r="I56" s="29"/>
      <c r="J56" s="29"/>
    </row>
    <row r="57" customFormat="false" ht="15" hidden="false" customHeight="false" outlineLevel="0" collapsed="false">
      <c r="A57" s="29"/>
      <c r="B57" s="33"/>
      <c r="C57" s="29"/>
      <c r="D57" s="29" t="str">
        <f aca="false">IFERROR(IF(C57="","",VLOOKUP(C57,PORTFOLIO!$A:$C,3,0)),"Loan ID not found")</f>
        <v/>
      </c>
      <c r="E57" s="29" t="str">
        <f aca="false">IFERROR(IF(C57="","",VLOOKUP(C57,PORTFOLIO!$A:$E,5,0)),"Loan ID not found")</f>
        <v/>
      </c>
      <c r="F57" s="30"/>
      <c r="G57" s="29"/>
      <c r="H57" s="29"/>
      <c r="I57" s="29"/>
      <c r="J57" s="29"/>
    </row>
    <row r="58" customFormat="false" ht="15" hidden="false" customHeight="false" outlineLevel="0" collapsed="false">
      <c r="A58" s="29"/>
      <c r="B58" s="33"/>
      <c r="C58" s="29"/>
      <c r="D58" s="29" t="str">
        <f aca="false">IFERROR(IF(C58="","",VLOOKUP(C58,PORTFOLIO!$A:$C,3,0)),"Loan ID not found")</f>
        <v/>
      </c>
      <c r="E58" s="29" t="str">
        <f aca="false">IFERROR(IF(C58="","",VLOOKUP(C58,PORTFOLIO!$A:$E,5,0)),"Loan ID not found")</f>
        <v/>
      </c>
      <c r="F58" s="30"/>
      <c r="G58" s="29"/>
      <c r="H58" s="29"/>
      <c r="I58" s="29"/>
      <c r="J58" s="29"/>
    </row>
    <row r="59" customFormat="false" ht="15" hidden="false" customHeight="false" outlineLevel="0" collapsed="false">
      <c r="A59" s="29"/>
      <c r="B59" s="33"/>
      <c r="C59" s="29"/>
      <c r="D59" s="29" t="str">
        <f aca="false">IFERROR(IF(C59="","",VLOOKUP(C59,PORTFOLIO!$A:$C,3,0)),"Loan ID not found")</f>
        <v/>
      </c>
      <c r="E59" s="29" t="str">
        <f aca="false">IFERROR(IF(C59="","",VLOOKUP(C59,PORTFOLIO!$A:$E,5,0)),"Loan ID not found")</f>
        <v/>
      </c>
      <c r="F59" s="30"/>
      <c r="G59" s="29"/>
      <c r="H59" s="29"/>
      <c r="I59" s="29"/>
      <c r="J59" s="29"/>
    </row>
    <row r="60" customFormat="false" ht="15" hidden="false" customHeight="false" outlineLevel="0" collapsed="false">
      <c r="A60" s="29"/>
      <c r="B60" s="33"/>
      <c r="C60" s="29"/>
      <c r="D60" s="29" t="str">
        <f aca="false">IFERROR(IF(C60="","",VLOOKUP(C60,PORTFOLIO!$A:$C,3,0)),"Loan ID not found")</f>
        <v/>
      </c>
      <c r="E60" s="29" t="str">
        <f aca="false">IFERROR(IF(C60="","",VLOOKUP(C60,PORTFOLIO!$A:$E,5,0)),"Loan ID not found")</f>
        <v/>
      </c>
      <c r="F60" s="30"/>
      <c r="G60" s="29"/>
      <c r="H60" s="29"/>
      <c r="I60" s="29"/>
      <c r="J60" s="29"/>
    </row>
    <row r="61" customFormat="false" ht="15" hidden="false" customHeight="false" outlineLevel="0" collapsed="false">
      <c r="A61" s="29"/>
      <c r="B61" s="33"/>
      <c r="C61" s="29"/>
      <c r="D61" s="29" t="str">
        <f aca="false">IFERROR(IF(C61="","",VLOOKUP(C61,PORTFOLIO!$A:$C,3,0)),"Loan ID not found")</f>
        <v/>
      </c>
      <c r="E61" s="29" t="str">
        <f aca="false">IFERROR(IF(C61="","",VLOOKUP(C61,PORTFOLIO!$A:$E,5,0)),"Loan ID not found")</f>
        <v/>
      </c>
      <c r="F61" s="30"/>
      <c r="G61" s="29"/>
      <c r="H61" s="29"/>
      <c r="I61" s="29"/>
      <c r="J61" s="29"/>
    </row>
    <row r="62" customFormat="false" ht="15" hidden="false" customHeight="false" outlineLevel="0" collapsed="false">
      <c r="A62" s="29"/>
      <c r="B62" s="33"/>
      <c r="C62" s="29"/>
      <c r="D62" s="29" t="str">
        <f aca="false">IFERROR(IF(C62="","",VLOOKUP(C62,PORTFOLIO!$A:$C,3,0)),"Loan ID not found")</f>
        <v/>
      </c>
      <c r="E62" s="29" t="str">
        <f aca="false">IFERROR(IF(C62="","",VLOOKUP(C62,PORTFOLIO!$A:$E,5,0)),"Loan ID not found")</f>
        <v/>
      </c>
      <c r="F62" s="30"/>
      <c r="G62" s="29"/>
      <c r="H62" s="29"/>
      <c r="I62" s="29"/>
      <c r="J62" s="29"/>
    </row>
    <row r="63" customFormat="false" ht="15" hidden="false" customHeight="false" outlineLevel="0" collapsed="false">
      <c r="A63" s="29"/>
      <c r="B63" s="33"/>
      <c r="C63" s="29"/>
      <c r="D63" s="29" t="str">
        <f aca="false">IFERROR(IF(C63="","",VLOOKUP(C63,PORTFOLIO!$A:$C,3,0)),"Loan ID not found")</f>
        <v/>
      </c>
      <c r="E63" s="29" t="str">
        <f aca="false">IFERROR(IF(C63="","",VLOOKUP(C63,PORTFOLIO!$A:$E,5,0)),"Loan ID not found")</f>
        <v/>
      </c>
      <c r="F63" s="30"/>
      <c r="G63" s="29"/>
      <c r="H63" s="29"/>
      <c r="I63" s="29"/>
      <c r="J63" s="29"/>
    </row>
    <row r="64" customFormat="false" ht="15" hidden="false" customHeight="false" outlineLevel="0" collapsed="false">
      <c r="A64" s="29"/>
      <c r="B64" s="33"/>
      <c r="C64" s="29"/>
      <c r="D64" s="29" t="str">
        <f aca="false">IFERROR(IF(C64="","",VLOOKUP(C64,PORTFOLIO!$A:$C,3,0)),"Loan ID not found")</f>
        <v/>
      </c>
      <c r="E64" s="29" t="str">
        <f aca="false">IFERROR(IF(C64="","",VLOOKUP(C64,PORTFOLIO!$A:$E,5,0)),"Loan ID not found")</f>
        <v/>
      </c>
      <c r="F64" s="30"/>
      <c r="G64" s="29"/>
      <c r="H64" s="29"/>
      <c r="I64" s="29"/>
      <c r="J64" s="29"/>
    </row>
    <row r="65" customFormat="false" ht="15" hidden="false" customHeight="false" outlineLevel="0" collapsed="false">
      <c r="A65" s="29"/>
      <c r="B65" s="33"/>
      <c r="C65" s="29"/>
      <c r="D65" s="29" t="str">
        <f aca="false">IFERROR(IF(C65="","",VLOOKUP(C65,PORTFOLIO!$A:$C,3,0)),"Loan ID not found")</f>
        <v/>
      </c>
      <c r="E65" s="29" t="str">
        <f aca="false">IFERROR(IF(C65="","",VLOOKUP(C65,PORTFOLIO!$A:$E,5,0)),"Loan ID not found")</f>
        <v/>
      </c>
      <c r="F65" s="30"/>
      <c r="G65" s="29"/>
      <c r="H65" s="29"/>
      <c r="I65" s="29"/>
      <c r="J65" s="29"/>
    </row>
    <row r="66" customFormat="false" ht="15" hidden="false" customHeight="false" outlineLevel="0" collapsed="false">
      <c r="A66" s="29"/>
      <c r="B66" s="33"/>
      <c r="C66" s="29"/>
      <c r="D66" s="29" t="str">
        <f aca="false">IFERROR(IF(C66="","",VLOOKUP(C66,PORTFOLIO!$A:$C,3,0)),"Loan ID not found")</f>
        <v/>
      </c>
      <c r="E66" s="29" t="str">
        <f aca="false">IFERROR(IF(C66="","",VLOOKUP(C66,PORTFOLIO!$A:$E,5,0)),"Loan ID not found")</f>
        <v/>
      </c>
      <c r="F66" s="30"/>
      <c r="G66" s="29"/>
      <c r="H66" s="29"/>
      <c r="I66" s="29"/>
      <c r="J66" s="29"/>
    </row>
    <row r="67" customFormat="false" ht="15" hidden="false" customHeight="false" outlineLevel="0" collapsed="false">
      <c r="A67" s="29"/>
      <c r="B67" s="33"/>
      <c r="C67" s="29"/>
      <c r="D67" s="29" t="str">
        <f aca="false">IFERROR(IF(C67="","",VLOOKUP(C67,PORTFOLIO!$A:$C,3,0)),"Loan ID not found")</f>
        <v/>
      </c>
      <c r="E67" s="29" t="str">
        <f aca="false">IFERROR(IF(C67="","",VLOOKUP(C67,PORTFOLIO!$A:$E,5,0)),"Loan ID not found")</f>
        <v/>
      </c>
      <c r="F67" s="30"/>
      <c r="G67" s="29"/>
      <c r="H67" s="29"/>
      <c r="I67" s="29"/>
      <c r="J67" s="29"/>
    </row>
    <row r="68" customFormat="false" ht="15" hidden="false" customHeight="false" outlineLevel="0" collapsed="false">
      <c r="A68" s="29"/>
      <c r="B68" s="33"/>
      <c r="C68" s="29"/>
      <c r="D68" s="29" t="str">
        <f aca="false">IFERROR(IF(C68="","",VLOOKUP(C68,PORTFOLIO!$A:$C,3,0)),"Loan ID not found")</f>
        <v/>
      </c>
      <c r="E68" s="29" t="str">
        <f aca="false">IFERROR(IF(C68="","",VLOOKUP(C68,PORTFOLIO!$A:$E,5,0)),"Loan ID not found")</f>
        <v/>
      </c>
      <c r="F68" s="30"/>
      <c r="G68" s="29"/>
      <c r="H68" s="29"/>
      <c r="I68" s="29"/>
      <c r="J68" s="29"/>
    </row>
    <row r="69" customFormat="false" ht="15" hidden="false" customHeight="false" outlineLevel="0" collapsed="false">
      <c r="A69" s="29"/>
      <c r="B69" s="33"/>
      <c r="C69" s="29"/>
      <c r="D69" s="29" t="str">
        <f aca="false">IFERROR(IF(C69="","",VLOOKUP(C69,PORTFOLIO!$A:$C,3,0)),"Loan ID not found")</f>
        <v/>
      </c>
      <c r="E69" s="29" t="str">
        <f aca="false">IFERROR(IF(C69="","",VLOOKUP(C69,PORTFOLIO!$A:$E,5,0)),"Loan ID not found")</f>
        <v/>
      </c>
      <c r="F69" s="30"/>
      <c r="G69" s="29"/>
      <c r="H69" s="29"/>
      <c r="I69" s="29"/>
      <c r="J69" s="29"/>
    </row>
    <row r="70" customFormat="false" ht="15" hidden="false" customHeight="false" outlineLevel="0" collapsed="false">
      <c r="A70" s="29"/>
      <c r="B70" s="33"/>
      <c r="C70" s="29"/>
      <c r="D70" s="29" t="str">
        <f aca="false">IFERROR(IF(C70="","",VLOOKUP(C70,PORTFOLIO!$A:$C,3,0)),"Loan ID not found")</f>
        <v/>
      </c>
      <c r="E70" s="29" t="str">
        <f aca="false">IFERROR(IF(C70="","",VLOOKUP(C70,PORTFOLIO!$A:$E,5,0)),"Loan ID not found")</f>
        <v/>
      </c>
      <c r="F70" s="30"/>
      <c r="G70" s="29"/>
      <c r="H70" s="29"/>
      <c r="I70" s="29"/>
      <c r="J70" s="29"/>
    </row>
    <row r="71" customFormat="false" ht="15" hidden="false" customHeight="false" outlineLevel="0" collapsed="false">
      <c r="A71" s="29"/>
      <c r="B71" s="33"/>
      <c r="C71" s="29"/>
      <c r="D71" s="29" t="str">
        <f aca="false">IFERROR(IF(C71="","",VLOOKUP(C71,PORTFOLIO!$A:$C,3,0)),"Loan ID not found")</f>
        <v/>
      </c>
      <c r="E71" s="29" t="str">
        <f aca="false">IFERROR(IF(C71="","",VLOOKUP(C71,PORTFOLIO!$A:$E,5,0)),"Loan ID not found")</f>
        <v/>
      </c>
      <c r="F71" s="30"/>
      <c r="G71" s="29"/>
      <c r="H71" s="29"/>
      <c r="I71" s="29"/>
      <c r="J71" s="29"/>
    </row>
    <row r="72" customFormat="false" ht="15" hidden="false" customHeight="false" outlineLevel="0" collapsed="false">
      <c r="A72" s="29"/>
      <c r="B72" s="33"/>
      <c r="C72" s="29"/>
      <c r="D72" s="29" t="str">
        <f aca="false">IFERROR(IF(C72="","",VLOOKUP(C72,PORTFOLIO!$A:$C,3,0)),"Loan ID not found")</f>
        <v/>
      </c>
      <c r="E72" s="29" t="str">
        <f aca="false">IFERROR(IF(C72="","",VLOOKUP(C72,PORTFOLIO!$A:$E,5,0)),"Loan ID not found")</f>
        <v/>
      </c>
      <c r="F72" s="30"/>
      <c r="G72" s="29"/>
      <c r="H72" s="29"/>
      <c r="I72" s="29"/>
      <c r="J72" s="29"/>
    </row>
    <row r="73" customFormat="false" ht="15" hidden="false" customHeight="false" outlineLevel="0" collapsed="false">
      <c r="A73" s="29"/>
      <c r="B73" s="33"/>
      <c r="C73" s="29"/>
      <c r="D73" s="29" t="str">
        <f aca="false">IFERROR(IF(C73="","",VLOOKUP(C73,PORTFOLIO!$A:$C,3,0)),"Loan ID not found")</f>
        <v/>
      </c>
      <c r="E73" s="29" t="str">
        <f aca="false">IFERROR(IF(C73="","",VLOOKUP(C73,PORTFOLIO!$A:$E,5,0)),"Loan ID not found")</f>
        <v/>
      </c>
      <c r="F73" s="30"/>
      <c r="G73" s="29"/>
      <c r="H73" s="29"/>
      <c r="I73" s="29"/>
      <c r="J73" s="29"/>
    </row>
    <row r="74" customFormat="false" ht="15" hidden="false" customHeight="false" outlineLevel="0" collapsed="false">
      <c r="A74" s="29"/>
      <c r="B74" s="33"/>
      <c r="C74" s="29"/>
      <c r="D74" s="29" t="str">
        <f aca="false">IFERROR(IF(C74="","",VLOOKUP(C74,PORTFOLIO!$A:$C,3,0)),"Loan ID not found")</f>
        <v/>
      </c>
      <c r="E74" s="29" t="str">
        <f aca="false">IFERROR(IF(C74="","",VLOOKUP(C74,PORTFOLIO!$A:$E,5,0)),"Loan ID not found")</f>
        <v/>
      </c>
      <c r="F74" s="30"/>
      <c r="G74" s="29"/>
      <c r="H74" s="29"/>
      <c r="I74" s="29"/>
      <c r="J74" s="29"/>
    </row>
    <row r="75" customFormat="false" ht="15" hidden="false" customHeight="false" outlineLevel="0" collapsed="false">
      <c r="A75" s="29"/>
      <c r="B75" s="33"/>
      <c r="C75" s="29"/>
      <c r="D75" s="29" t="str">
        <f aca="false">IFERROR(IF(C75="","",VLOOKUP(C75,PORTFOLIO!$A:$C,3,0)),"Loan ID not found")</f>
        <v/>
      </c>
      <c r="E75" s="29" t="str">
        <f aca="false">IFERROR(IF(C75="","",VLOOKUP(C75,PORTFOLIO!$A:$E,5,0)),"Loan ID not found")</f>
        <v/>
      </c>
      <c r="F75" s="30"/>
      <c r="G75" s="29"/>
      <c r="H75" s="29"/>
      <c r="I75" s="29"/>
      <c r="J75" s="29"/>
    </row>
    <row r="76" customFormat="false" ht="15" hidden="false" customHeight="false" outlineLevel="0" collapsed="false">
      <c r="A76" s="29"/>
      <c r="B76" s="33"/>
      <c r="C76" s="29"/>
      <c r="D76" s="29" t="str">
        <f aca="false">IFERROR(IF(C76="","",VLOOKUP(C76,PORTFOLIO!$A:$C,3,0)),"Loan ID not found")</f>
        <v/>
      </c>
      <c r="E76" s="29" t="str">
        <f aca="false">IFERROR(IF(C76="","",VLOOKUP(C76,PORTFOLIO!$A:$E,5,0)),"Loan ID not found")</f>
        <v/>
      </c>
      <c r="F76" s="30"/>
      <c r="G76" s="29"/>
      <c r="H76" s="29"/>
      <c r="I76" s="29"/>
      <c r="J76" s="29"/>
    </row>
    <row r="77" customFormat="false" ht="15" hidden="false" customHeight="false" outlineLevel="0" collapsed="false">
      <c r="A77" s="29"/>
      <c r="B77" s="33"/>
      <c r="C77" s="29"/>
      <c r="D77" s="29" t="str">
        <f aca="false">IFERROR(IF(C77="","",VLOOKUP(C77,PORTFOLIO!$A:$C,3,0)),"Loan ID not found")</f>
        <v/>
      </c>
      <c r="E77" s="29" t="str">
        <f aca="false">IFERROR(IF(C77="","",VLOOKUP(C77,PORTFOLIO!$A:$E,5,0)),"Loan ID not found")</f>
        <v/>
      </c>
      <c r="F77" s="30"/>
      <c r="G77" s="29"/>
      <c r="H77" s="29"/>
      <c r="I77" s="29"/>
      <c r="J77" s="29"/>
    </row>
    <row r="78" customFormat="false" ht="15" hidden="false" customHeight="false" outlineLevel="0" collapsed="false">
      <c r="A78" s="29"/>
      <c r="B78" s="33"/>
      <c r="C78" s="29"/>
      <c r="D78" s="29" t="str">
        <f aca="false">IFERROR(IF(C78="","",VLOOKUP(C78,PORTFOLIO!$A:$C,3,0)),"Loan ID not found")</f>
        <v/>
      </c>
      <c r="E78" s="29" t="str">
        <f aca="false">IFERROR(IF(C78="","",VLOOKUP(C78,PORTFOLIO!$A:$E,5,0)),"Loan ID not found")</f>
        <v/>
      </c>
      <c r="F78" s="30"/>
      <c r="G78" s="29"/>
      <c r="H78" s="29"/>
      <c r="I78" s="29"/>
      <c r="J78" s="29"/>
    </row>
    <row r="79" customFormat="false" ht="15" hidden="false" customHeight="false" outlineLevel="0" collapsed="false">
      <c r="A79" s="29"/>
      <c r="B79" s="33"/>
      <c r="C79" s="29"/>
      <c r="D79" s="29" t="str">
        <f aca="false">IFERROR(IF(C79="","",VLOOKUP(C79,PORTFOLIO!$A:$C,3,0)),"Loan ID not found")</f>
        <v/>
      </c>
      <c r="E79" s="29" t="str">
        <f aca="false">IFERROR(IF(C79="","",VLOOKUP(C79,PORTFOLIO!$A:$E,5,0)),"Loan ID not found")</f>
        <v/>
      </c>
      <c r="F79" s="30"/>
      <c r="G79" s="29"/>
      <c r="H79" s="29"/>
      <c r="I79" s="29"/>
      <c r="J79" s="29"/>
    </row>
    <row r="80" customFormat="false" ht="15" hidden="false" customHeight="false" outlineLevel="0" collapsed="false">
      <c r="A80" s="29"/>
      <c r="B80" s="33"/>
      <c r="C80" s="29"/>
      <c r="D80" s="29" t="str">
        <f aca="false">IFERROR(IF(C80="","",VLOOKUP(C80,PORTFOLIO!$A:$C,3,0)),"Loan ID not found")</f>
        <v/>
      </c>
      <c r="E80" s="29" t="str">
        <f aca="false">IFERROR(IF(C80="","",VLOOKUP(C80,PORTFOLIO!$A:$E,5,0)),"Loan ID not found")</f>
        <v/>
      </c>
      <c r="F80" s="30"/>
      <c r="G80" s="29"/>
      <c r="H80" s="29"/>
      <c r="I80" s="29"/>
      <c r="J80" s="29"/>
    </row>
    <row r="81" customFormat="false" ht="15" hidden="false" customHeight="false" outlineLevel="0" collapsed="false">
      <c r="A81" s="29"/>
      <c r="B81" s="33"/>
      <c r="C81" s="29"/>
      <c r="D81" s="29" t="str">
        <f aca="false">IFERROR(IF(C81="","",VLOOKUP(C81,PORTFOLIO!$A:$C,3,0)),"Loan ID not found")</f>
        <v/>
      </c>
      <c r="E81" s="29" t="str">
        <f aca="false">IFERROR(IF(C81="","",VLOOKUP(C81,PORTFOLIO!$A:$E,5,0)),"Loan ID not found")</f>
        <v/>
      </c>
      <c r="F81" s="30"/>
      <c r="G81" s="29"/>
      <c r="H81" s="29"/>
      <c r="I81" s="29"/>
      <c r="J81" s="29"/>
    </row>
    <row r="82" customFormat="false" ht="15" hidden="false" customHeight="false" outlineLevel="0" collapsed="false">
      <c r="A82" s="29"/>
      <c r="B82" s="33"/>
      <c r="C82" s="29"/>
      <c r="D82" s="29" t="str">
        <f aca="false">IFERROR(IF(C82="","",VLOOKUP(C82,PORTFOLIO!$A:$C,3,0)),"Loan ID not found")</f>
        <v/>
      </c>
      <c r="E82" s="29" t="str">
        <f aca="false">IFERROR(IF(C82="","",VLOOKUP(C82,PORTFOLIO!$A:$E,5,0)),"Loan ID not found")</f>
        <v/>
      </c>
      <c r="F82" s="30"/>
      <c r="G82" s="29"/>
      <c r="H82" s="29"/>
      <c r="I82" s="29"/>
      <c r="J82" s="29"/>
    </row>
    <row r="83" customFormat="false" ht="15" hidden="false" customHeight="false" outlineLevel="0" collapsed="false">
      <c r="A83" s="29"/>
      <c r="B83" s="33"/>
      <c r="C83" s="29"/>
      <c r="D83" s="29" t="str">
        <f aca="false">IFERROR(IF(C83="","",VLOOKUP(C83,PORTFOLIO!$A:$C,3,0)),"Loan ID not found")</f>
        <v/>
      </c>
      <c r="E83" s="29" t="str">
        <f aca="false">IFERROR(IF(C83="","",VLOOKUP(C83,PORTFOLIO!$A:$E,5,0)),"Loan ID not found")</f>
        <v/>
      </c>
      <c r="F83" s="30"/>
      <c r="G83" s="29"/>
      <c r="H83" s="29"/>
      <c r="I83" s="29"/>
      <c r="J83" s="29"/>
    </row>
    <row r="84" customFormat="false" ht="15" hidden="false" customHeight="false" outlineLevel="0" collapsed="false">
      <c r="A84" s="29"/>
      <c r="B84" s="33"/>
      <c r="C84" s="29"/>
      <c r="D84" s="29" t="str">
        <f aca="false">IFERROR(IF(C84="","",VLOOKUP(C84,PORTFOLIO!$A:$C,3,0)),"Loan ID not found")</f>
        <v/>
      </c>
      <c r="E84" s="29" t="str">
        <f aca="false">IFERROR(IF(C84="","",VLOOKUP(C84,PORTFOLIO!$A:$E,5,0)),"Loan ID not found")</f>
        <v/>
      </c>
      <c r="F84" s="30"/>
      <c r="G84" s="29"/>
      <c r="H84" s="29"/>
      <c r="I84" s="29"/>
      <c r="J84" s="29"/>
    </row>
    <row r="85" customFormat="false" ht="15" hidden="false" customHeight="false" outlineLevel="0" collapsed="false">
      <c r="A85" s="29"/>
      <c r="B85" s="33"/>
      <c r="C85" s="29"/>
      <c r="D85" s="29" t="str">
        <f aca="false">IFERROR(IF(C85="","",VLOOKUP(C85,PORTFOLIO!$A:$C,3,0)),"Loan ID not found")</f>
        <v/>
      </c>
      <c r="E85" s="29" t="str">
        <f aca="false">IFERROR(IF(C85="","",VLOOKUP(C85,PORTFOLIO!$A:$E,5,0)),"Loan ID not found")</f>
        <v/>
      </c>
      <c r="F85" s="30"/>
      <c r="G85" s="29"/>
      <c r="H85" s="29"/>
      <c r="I85" s="29"/>
      <c r="J85" s="29"/>
    </row>
    <row r="86" customFormat="false" ht="15" hidden="false" customHeight="false" outlineLevel="0" collapsed="false">
      <c r="A86" s="29"/>
      <c r="B86" s="33"/>
      <c r="C86" s="29"/>
      <c r="D86" s="29" t="str">
        <f aca="false">IFERROR(IF(C86="","",VLOOKUP(C86,PORTFOLIO!$A:$C,3,0)),"Loan ID not found")</f>
        <v/>
      </c>
      <c r="E86" s="29" t="str">
        <f aca="false">IFERROR(IF(C86="","",VLOOKUP(C86,PORTFOLIO!$A:$E,5,0)),"Loan ID not found")</f>
        <v/>
      </c>
      <c r="F86" s="30"/>
      <c r="G86" s="29"/>
      <c r="H86" s="29"/>
      <c r="I86" s="29"/>
      <c r="J86" s="29"/>
    </row>
    <row r="87" customFormat="false" ht="15" hidden="false" customHeight="false" outlineLevel="0" collapsed="false">
      <c r="A87" s="29"/>
      <c r="B87" s="33"/>
      <c r="C87" s="29"/>
      <c r="D87" s="29" t="str">
        <f aca="false">IFERROR(IF(C87="","",VLOOKUP(C87,PORTFOLIO!$A:$C,3,0)),"Loan ID not found")</f>
        <v/>
      </c>
      <c r="E87" s="29" t="str">
        <f aca="false">IFERROR(IF(C87="","",VLOOKUP(C87,PORTFOLIO!$A:$E,5,0)),"Loan ID not found")</f>
        <v/>
      </c>
      <c r="F87" s="30"/>
      <c r="G87" s="29"/>
      <c r="H87" s="29"/>
      <c r="I87" s="29"/>
      <c r="J87" s="29"/>
    </row>
    <row r="88" customFormat="false" ht="15" hidden="false" customHeight="false" outlineLevel="0" collapsed="false">
      <c r="A88" s="29"/>
      <c r="B88" s="33"/>
      <c r="C88" s="29"/>
      <c r="D88" s="29" t="str">
        <f aca="false">IFERROR(IF(C88="","",VLOOKUP(C88,PORTFOLIO!$A:$C,3,0)),"Loan ID not found")</f>
        <v/>
      </c>
      <c r="E88" s="29" t="str">
        <f aca="false">IFERROR(IF(C88="","",VLOOKUP(C88,PORTFOLIO!$A:$E,5,0)),"Loan ID not found")</f>
        <v/>
      </c>
      <c r="F88" s="30"/>
      <c r="G88" s="29"/>
      <c r="H88" s="29"/>
      <c r="I88" s="29"/>
      <c r="J88" s="29"/>
    </row>
    <row r="89" customFormat="false" ht="15" hidden="false" customHeight="false" outlineLevel="0" collapsed="false">
      <c r="A89" s="29"/>
      <c r="B89" s="33"/>
      <c r="C89" s="29"/>
      <c r="D89" s="29" t="str">
        <f aca="false">IFERROR(IF(C89="","",VLOOKUP(C89,PORTFOLIO!$A:$C,3,0)),"Loan ID not found")</f>
        <v/>
      </c>
      <c r="E89" s="29" t="str">
        <f aca="false">IFERROR(IF(C89="","",VLOOKUP(C89,PORTFOLIO!$A:$E,5,0)),"Loan ID not found")</f>
        <v/>
      </c>
      <c r="F89" s="30"/>
      <c r="G89" s="29"/>
      <c r="H89" s="29"/>
      <c r="I89" s="29"/>
      <c r="J89" s="29"/>
    </row>
    <row r="90" customFormat="false" ht="15" hidden="false" customHeight="false" outlineLevel="0" collapsed="false">
      <c r="A90" s="29"/>
      <c r="B90" s="33"/>
      <c r="C90" s="29"/>
      <c r="D90" s="29" t="str">
        <f aca="false">IFERROR(IF(C90="","",VLOOKUP(C90,PORTFOLIO!$A:$C,3,0)),"Loan ID not found")</f>
        <v/>
      </c>
      <c r="E90" s="29" t="str">
        <f aca="false">IFERROR(IF(C90="","",VLOOKUP(C90,PORTFOLIO!$A:$E,5,0)),"Loan ID not found")</f>
        <v/>
      </c>
      <c r="F90" s="30"/>
      <c r="G90" s="29"/>
      <c r="H90" s="29"/>
      <c r="I90" s="29"/>
      <c r="J90" s="29"/>
    </row>
    <row r="91" customFormat="false" ht="15" hidden="false" customHeight="false" outlineLevel="0" collapsed="false">
      <c r="A91" s="29"/>
      <c r="B91" s="33"/>
      <c r="C91" s="29"/>
      <c r="D91" s="29" t="str">
        <f aca="false">IFERROR(IF(C91="","",VLOOKUP(C91,PORTFOLIO!$A:$C,3,0)),"Loan ID not found")</f>
        <v/>
      </c>
      <c r="E91" s="29" t="str">
        <f aca="false">IFERROR(IF(C91="","",VLOOKUP(C91,PORTFOLIO!$A:$E,5,0)),"Loan ID not found")</f>
        <v/>
      </c>
      <c r="F91" s="30"/>
      <c r="G91" s="29"/>
      <c r="H91" s="29"/>
      <c r="I91" s="29"/>
      <c r="J91" s="29"/>
    </row>
    <row r="92" customFormat="false" ht="15" hidden="false" customHeight="false" outlineLevel="0" collapsed="false">
      <c r="A92" s="29"/>
      <c r="B92" s="33"/>
      <c r="C92" s="29"/>
      <c r="D92" s="29" t="str">
        <f aca="false">IFERROR(IF(C92="","",VLOOKUP(C92,PORTFOLIO!$A:$C,3,0)),"Loan ID not found")</f>
        <v/>
      </c>
      <c r="E92" s="29" t="str">
        <f aca="false">IFERROR(IF(C92="","",VLOOKUP(C92,PORTFOLIO!$A:$E,5,0)),"Loan ID not found")</f>
        <v/>
      </c>
      <c r="F92" s="30"/>
      <c r="G92" s="29"/>
      <c r="H92" s="29"/>
      <c r="I92" s="29"/>
      <c r="J92" s="29"/>
    </row>
    <row r="93" customFormat="false" ht="15" hidden="false" customHeight="false" outlineLevel="0" collapsed="false">
      <c r="A93" s="29"/>
      <c r="B93" s="33"/>
      <c r="C93" s="29"/>
      <c r="D93" s="29" t="str">
        <f aca="false">IFERROR(IF(C93="","",VLOOKUP(C93,PORTFOLIO!$A:$C,3,0)),"Loan ID not found")</f>
        <v/>
      </c>
      <c r="E93" s="29" t="str">
        <f aca="false">IFERROR(IF(C93="","",VLOOKUP(C93,PORTFOLIO!$A:$E,5,0)),"Loan ID not found")</f>
        <v/>
      </c>
      <c r="F93" s="30"/>
      <c r="G93" s="29"/>
      <c r="H93" s="29"/>
      <c r="I93" s="29"/>
      <c r="J93" s="29"/>
    </row>
    <row r="94" customFormat="false" ht="15" hidden="false" customHeight="false" outlineLevel="0" collapsed="false">
      <c r="A94" s="29"/>
      <c r="B94" s="33"/>
      <c r="C94" s="29"/>
      <c r="D94" s="29" t="str">
        <f aca="false">IFERROR(IF(C94="","",VLOOKUP(C94,PORTFOLIO!$A:$C,3,0)),"Loan ID not found")</f>
        <v/>
      </c>
      <c r="E94" s="29" t="str">
        <f aca="false">IFERROR(IF(C94="","",VLOOKUP(C94,PORTFOLIO!$A:$E,5,0)),"Loan ID not found")</f>
        <v/>
      </c>
      <c r="F94" s="30"/>
      <c r="G94" s="29"/>
      <c r="H94" s="29"/>
      <c r="I94" s="29"/>
      <c r="J94" s="29"/>
    </row>
    <row r="95" customFormat="false" ht="15" hidden="false" customHeight="false" outlineLevel="0" collapsed="false">
      <c r="A95" s="29"/>
      <c r="B95" s="33"/>
      <c r="C95" s="29"/>
      <c r="D95" s="29" t="str">
        <f aca="false">IFERROR(IF(C95="","",VLOOKUP(C95,PORTFOLIO!$A:$C,3,0)),"Loan ID not found")</f>
        <v/>
      </c>
      <c r="E95" s="29" t="str">
        <f aca="false">IFERROR(IF(C95="","",VLOOKUP(C95,PORTFOLIO!$A:$E,5,0)),"Loan ID not found")</f>
        <v/>
      </c>
      <c r="F95" s="30"/>
      <c r="G95" s="29"/>
      <c r="H95" s="29"/>
      <c r="I95" s="29"/>
      <c r="J95" s="29"/>
    </row>
    <row r="96" customFormat="false" ht="15" hidden="false" customHeight="false" outlineLevel="0" collapsed="false">
      <c r="A96" s="29"/>
      <c r="B96" s="33"/>
      <c r="C96" s="29"/>
      <c r="D96" s="29" t="str">
        <f aca="false">IFERROR(IF(C96="","",VLOOKUP(C96,PORTFOLIO!$A:$C,3,0)),"Loan ID not found")</f>
        <v/>
      </c>
      <c r="E96" s="29" t="str">
        <f aca="false">IFERROR(IF(C96="","",VLOOKUP(C96,PORTFOLIO!$A:$E,5,0)),"Loan ID not found")</f>
        <v/>
      </c>
      <c r="F96" s="30"/>
      <c r="G96" s="29"/>
      <c r="H96" s="29"/>
      <c r="I96" s="29"/>
      <c r="J96" s="29"/>
    </row>
    <row r="97" customFormat="false" ht="15" hidden="false" customHeight="false" outlineLevel="0" collapsed="false">
      <c r="A97" s="29"/>
      <c r="B97" s="33"/>
      <c r="C97" s="29"/>
      <c r="D97" s="29" t="str">
        <f aca="false">IFERROR(IF(C97="","",VLOOKUP(C97,PORTFOLIO!$A:$C,3,0)),"Loan ID not found")</f>
        <v/>
      </c>
      <c r="E97" s="29" t="str">
        <f aca="false">IFERROR(IF(C97="","",VLOOKUP(C97,PORTFOLIO!$A:$E,5,0)),"Loan ID not found")</f>
        <v/>
      </c>
      <c r="F97" s="30"/>
      <c r="G97" s="29"/>
      <c r="H97" s="29"/>
      <c r="I97" s="29"/>
      <c r="J97" s="29"/>
    </row>
    <row r="98" customFormat="false" ht="15" hidden="false" customHeight="false" outlineLevel="0" collapsed="false">
      <c r="A98" s="29"/>
      <c r="B98" s="33"/>
      <c r="C98" s="29"/>
      <c r="D98" s="29" t="str">
        <f aca="false">IFERROR(IF(C98="","",VLOOKUP(C98,PORTFOLIO!$A:$C,3,0)),"Loan ID not found")</f>
        <v/>
      </c>
      <c r="E98" s="29" t="str">
        <f aca="false">IFERROR(IF(C98="","",VLOOKUP(C98,PORTFOLIO!$A:$E,5,0)),"Loan ID not found")</f>
        <v/>
      </c>
      <c r="F98" s="30"/>
      <c r="G98" s="29"/>
      <c r="H98" s="29"/>
      <c r="I98" s="29"/>
      <c r="J98" s="29"/>
    </row>
    <row r="99" customFormat="false" ht="15" hidden="false" customHeight="false" outlineLevel="0" collapsed="false">
      <c r="A99" s="29"/>
      <c r="B99" s="33"/>
      <c r="C99" s="29"/>
      <c r="D99" s="29" t="str">
        <f aca="false">IFERROR(IF(C99="","",VLOOKUP(C99,PORTFOLIO!$A:$C,3,0)),"Loan ID not found")</f>
        <v/>
      </c>
      <c r="E99" s="29" t="str">
        <f aca="false">IFERROR(IF(C99="","",VLOOKUP(C99,PORTFOLIO!$A:$E,5,0)),"Loan ID not found")</f>
        <v/>
      </c>
      <c r="F99" s="30"/>
      <c r="G99" s="29"/>
      <c r="H99" s="29"/>
      <c r="I99" s="29"/>
      <c r="J99" s="29"/>
    </row>
    <row r="100" customFormat="false" ht="15" hidden="false" customHeight="false" outlineLevel="0" collapsed="false">
      <c r="A100" s="29"/>
      <c r="B100" s="33"/>
      <c r="C100" s="29"/>
      <c r="D100" s="29" t="str">
        <f aca="false">IFERROR(IF(C100="","",VLOOKUP(C100,PORTFOLIO!$A:$C,3,0)),"Loan ID not found")</f>
        <v/>
      </c>
      <c r="E100" s="29" t="str">
        <f aca="false">IFERROR(IF(C100="","",VLOOKUP(C100,PORTFOLIO!$A:$E,5,0)),"Loan ID not found")</f>
        <v/>
      </c>
      <c r="F100" s="30"/>
      <c r="G100" s="29"/>
      <c r="H100" s="29"/>
      <c r="I100" s="29"/>
      <c r="J100" s="29"/>
    </row>
    <row r="101" customFormat="false" ht="15" hidden="false" customHeight="false" outlineLevel="0" collapsed="false">
      <c r="A101" s="29"/>
      <c r="B101" s="33"/>
      <c r="C101" s="29"/>
      <c r="D101" s="29" t="str">
        <f aca="false">IFERROR(IF(C101="","",VLOOKUP(C101,PORTFOLIO!$A:$C,3,0)),"Loan ID not found")</f>
        <v/>
      </c>
      <c r="E101" s="29" t="str">
        <f aca="false">IFERROR(IF(C101="","",VLOOKUP(C101,PORTFOLIO!$A:$E,5,0)),"Loan ID not found")</f>
        <v/>
      </c>
      <c r="F101" s="30"/>
      <c r="G101" s="29"/>
      <c r="H101" s="29"/>
      <c r="I101" s="29"/>
      <c r="J101" s="29"/>
    </row>
    <row r="102" customFormat="false" ht="15" hidden="false" customHeight="false" outlineLevel="0" collapsed="false">
      <c r="A102" s="29"/>
      <c r="B102" s="33"/>
      <c r="C102" s="29"/>
      <c r="D102" s="29" t="str">
        <f aca="false">IFERROR(IF(C102="","",VLOOKUP(C102,PORTFOLIO!$A:$C,3,0)),"Loan ID not found")</f>
        <v/>
      </c>
      <c r="E102" s="29" t="str">
        <f aca="false">IFERROR(IF(C102="","",VLOOKUP(C102,PORTFOLIO!$A:$E,5,0)),"Loan ID not found")</f>
        <v/>
      </c>
      <c r="F102" s="30"/>
      <c r="G102" s="29"/>
      <c r="H102" s="29"/>
      <c r="I102" s="29"/>
      <c r="J102" s="29"/>
    </row>
    <row r="103" customFormat="false" ht="15" hidden="false" customHeight="false" outlineLevel="0" collapsed="false">
      <c r="A103" s="29"/>
      <c r="B103" s="33"/>
      <c r="C103" s="29"/>
      <c r="D103" s="29" t="str">
        <f aca="false">IFERROR(IF(C103="","",VLOOKUP(C103,PORTFOLIO!$A:$C,3,0)),"Loan ID not found")</f>
        <v/>
      </c>
      <c r="E103" s="29" t="str">
        <f aca="false">IFERROR(IF(C103="","",VLOOKUP(C103,PORTFOLIO!$A:$E,5,0)),"Loan ID not found")</f>
        <v/>
      </c>
      <c r="F103" s="30"/>
      <c r="G103" s="29"/>
      <c r="H103" s="29"/>
      <c r="I103" s="29"/>
      <c r="J103" s="29"/>
    </row>
    <row r="104" customFormat="false" ht="15" hidden="false" customHeight="false" outlineLevel="0" collapsed="false">
      <c r="A104" s="29"/>
      <c r="B104" s="33"/>
      <c r="C104" s="29"/>
      <c r="D104" s="29" t="str">
        <f aca="false">IFERROR(IF(C104="","",VLOOKUP(C104,PORTFOLIO!$A:$C,3,0)),"Loan ID not found")</f>
        <v/>
      </c>
      <c r="E104" s="29" t="str">
        <f aca="false">IFERROR(IF(C104="","",VLOOKUP(C104,PORTFOLIO!$A:$E,5,0)),"Loan ID not found")</f>
        <v/>
      </c>
      <c r="F104" s="30"/>
      <c r="G104" s="29"/>
      <c r="H104" s="29"/>
      <c r="I104" s="29"/>
      <c r="J104" s="29"/>
    </row>
  </sheetData>
  <mergeCells count="2">
    <mergeCell ref="A1:J1"/>
    <mergeCell ref="A2:J2"/>
  </mergeCells>
  <dataValidations count="1">
    <dataValidation allowBlank="true" error="Pick one of the listed options, or add a new option on the Lists sheet." errorStyle="stop" errorTitle="Choose from the list" operator="between" showDropDown="false" showErrorMessage="true" showInputMessage="false" sqref="G5:G104" type="list">
      <formula1>Lists!$F$2:$F$5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4"/>
    <col collapsed="false" customWidth="true" hidden="false" outlineLevel="0" max="3" min="3" style="0" width="20"/>
    <col collapsed="false" customWidth="true" hidden="false" outlineLevel="0" max="4" min="4" style="0" width="16"/>
  </cols>
  <sheetData>
    <row r="1" customFormat="false" ht="16.15" hidden="false" customHeight="false" outlineLevel="0" collapsed="false">
      <c r="A1" s="9" t="s">
        <v>270</v>
      </c>
      <c r="B1" s="9"/>
      <c r="C1" s="9"/>
      <c r="D1" s="9"/>
      <c r="E1" s="9"/>
    </row>
    <row r="2" customFormat="false" ht="15" hidden="false" customHeight="false" outlineLevel="0" collapsed="false">
      <c r="A2" s="10" t="s">
        <v>271</v>
      </c>
      <c r="B2" s="10"/>
      <c r="C2" s="10"/>
      <c r="D2" s="10"/>
      <c r="E2" s="10"/>
    </row>
    <row r="3" customFormat="false" ht="25.5" hidden="false" customHeight="true" outlineLevel="0" collapsed="false">
      <c r="A3" s="17" t="s">
        <v>272</v>
      </c>
      <c r="B3" s="17"/>
      <c r="C3" s="17"/>
      <c r="D3" s="17"/>
      <c r="E3" s="17"/>
    </row>
    <row r="5" customFormat="false" ht="22.35" hidden="false" customHeight="false" outlineLevel="0" collapsed="false">
      <c r="A5" s="25" t="s">
        <v>273</v>
      </c>
      <c r="B5" s="25" t="s">
        <v>274</v>
      </c>
      <c r="C5" s="25" t="s">
        <v>275</v>
      </c>
      <c r="D5" s="25" t="s">
        <v>276</v>
      </c>
    </row>
    <row r="6" customFormat="false" ht="15" hidden="false" customHeight="false" outlineLevel="0" collapsed="false">
      <c r="A6" s="40" t="s">
        <v>277</v>
      </c>
      <c r="B6" s="41" t="n">
        <f aca="false">COUNTIFS(PORTFOLIO!$Y$6:$Y$55,"Current",PORTFOLIO!$B$6:$B$55,"&lt;&gt;EXAMPLE")</f>
        <v>0</v>
      </c>
      <c r="C6" s="21" t="n">
        <f aca="false">SUMIFS(PORTFOLIO!$U$6:$U$55,PORTFOLIO!$Y$6:$Y$55,"Current",PORTFOLIO!$B$6:$B$55,"&lt;&gt;EXAMPLE")</f>
        <v>0</v>
      </c>
      <c r="D6" s="42" t="str">
        <f aca="false">IF(SUM(C6:C10)=0,"",C6/SUM(C6:C10))</f>
        <v/>
      </c>
    </row>
    <row r="7" customFormat="false" ht="15" hidden="false" customHeight="false" outlineLevel="0" collapsed="false">
      <c r="A7" s="40" t="s">
        <v>278</v>
      </c>
      <c r="B7" s="41" t="n">
        <f aca="false">COUNTIFS(PORTFOLIO!$Y$6:$Y$55,"1-30 Days",PORTFOLIO!$B$6:$B$55,"&lt;&gt;EXAMPLE")</f>
        <v>0</v>
      </c>
      <c r="C7" s="21" t="n">
        <f aca="false">SUMIFS(PORTFOLIO!$U$6:$U$55,PORTFOLIO!$Y$6:$Y$55,"1-30 Days",PORTFOLIO!$B$6:$B$55,"&lt;&gt;EXAMPLE")</f>
        <v>0</v>
      </c>
      <c r="D7" s="42" t="str">
        <f aca="false">IF(SUM(C6:C10)=0,"",C7/SUM(C6:C10))</f>
        <v/>
      </c>
    </row>
    <row r="8" customFormat="false" ht="15" hidden="false" customHeight="false" outlineLevel="0" collapsed="false">
      <c r="A8" s="40" t="s">
        <v>279</v>
      </c>
      <c r="B8" s="41" t="n">
        <f aca="false">COUNTIFS(PORTFOLIO!$Y$6:$Y$55,"31-60 Days",PORTFOLIO!$B$6:$B$55,"&lt;&gt;EXAMPLE")</f>
        <v>0</v>
      </c>
      <c r="C8" s="21" t="n">
        <f aca="false">SUMIFS(PORTFOLIO!$U$6:$U$55,PORTFOLIO!$Y$6:$Y$55,"31-60 Days",PORTFOLIO!$B$6:$B$55,"&lt;&gt;EXAMPLE")</f>
        <v>0</v>
      </c>
      <c r="D8" s="42" t="str">
        <f aca="false">IF(SUM(C6:C10)=0,"",C8/SUM(C6:C10))</f>
        <v/>
      </c>
    </row>
    <row r="9" customFormat="false" ht="15" hidden="false" customHeight="false" outlineLevel="0" collapsed="false">
      <c r="A9" s="40" t="s">
        <v>280</v>
      </c>
      <c r="B9" s="41" t="n">
        <f aca="false">COUNTIFS(PORTFOLIO!$Y$6:$Y$55,"61-90 Days",PORTFOLIO!$B$6:$B$55,"&lt;&gt;EXAMPLE")</f>
        <v>0</v>
      </c>
      <c r="C9" s="21" t="n">
        <f aca="false">SUMIFS(PORTFOLIO!$U$6:$U$55,PORTFOLIO!$Y$6:$Y$55,"61-90 Days",PORTFOLIO!$B$6:$B$55,"&lt;&gt;EXAMPLE")</f>
        <v>0</v>
      </c>
      <c r="D9" s="42" t="str">
        <f aca="false">IF(SUM(C6:C10)=0,"",C9/SUM(C6:C10))</f>
        <v/>
      </c>
    </row>
    <row r="10" customFormat="false" ht="15" hidden="false" customHeight="false" outlineLevel="0" collapsed="false">
      <c r="A10" s="40" t="s">
        <v>281</v>
      </c>
      <c r="B10" s="41" t="n">
        <f aca="false">COUNTIFS(PORTFOLIO!$Y$6:$Y$55,"90+ Days (PAR90)",PORTFOLIO!$B$6:$B$55,"&lt;&gt;EXAMPLE")</f>
        <v>0</v>
      </c>
      <c r="C10" s="21" t="n">
        <f aca="false">SUMIFS(PORTFOLIO!$U$6:$U$55,PORTFOLIO!$Y$6:$Y$55,"90+ Days (PAR90)",PORTFOLIO!$B$6:$B$55,"&lt;&gt;EXAMPLE")</f>
        <v>0</v>
      </c>
      <c r="D10" s="42" t="str">
        <f aca="false">IF(SUM(C6:C10)=0,"",C10/SUM(C6:C10))</f>
        <v/>
      </c>
    </row>
    <row r="11" customFormat="false" ht="15" hidden="false" customHeight="false" outlineLevel="0" collapsed="false">
      <c r="A11" s="40" t="s">
        <v>138</v>
      </c>
      <c r="B11" s="41" t="n">
        <f aca="false">COUNTIFS(PORTFOLIO!$Y$6:$Y$55,"Written Off",PORTFOLIO!$B$6:$B$55,"&lt;&gt;EXAMPLE")</f>
        <v>0</v>
      </c>
      <c r="C11" s="21" t="n">
        <f aca="false">SUMIFS(PORTFOLIO!$U$6:$U$55,PORTFOLIO!$Y$6:$Y$55,"Written Off",PORTFOLIO!$B$6:$B$55,"&lt;&gt;EXAMPLE")</f>
        <v>0</v>
      </c>
      <c r="D11" s="20" t="str">
        <f aca="false">""</f>
        <v/>
      </c>
    </row>
    <row r="13" customFormat="false" ht="15" hidden="false" customHeight="false" outlineLevel="0" collapsed="false">
      <c r="A13" s="18" t="s">
        <v>282</v>
      </c>
      <c r="B13" s="43" t="n">
        <f aca="false">SUM(C6:C10)</f>
        <v>0</v>
      </c>
    </row>
    <row r="14" customFormat="false" ht="15" hidden="false" customHeight="false" outlineLevel="0" collapsed="false">
      <c r="A14" s="18" t="s">
        <v>283</v>
      </c>
      <c r="B14" s="44" t="n">
        <f aca="false">SUM(B7:B10)</f>
        <v>0</v>
      </c>
    </row>
    <row r="15" customFormat="false" ht="15" hidden="false" customHeight="false" outlineLevel="0" collapsed="false">
      <c r="A15" s="18" t="s">
        <v>284</v>
      </c>
      <c r="B15" s="43" t="n">
        <f aca="false">SUMIFS(PORTFOLIO!$W$6:$W$55,PORTFOLIO!$B$6:$B$55,"&lt;&gt;EXAMPLE")</f>
        <v>0</v>
      </c>
    </row>
    <row r="16" customFormat="false" ht="15" hidden="false" customHeight="false" outlineLevel="0" collapsed="false">
      <c r="A16" s="18" t="s">
        <v>285</v>
      </c>
      <c r="B16" s="45" t="str">
        <f aca="false">IF(SUM(C6:C10)=0,"",SUM(C8:C10)/SUM(C6:C10))</f>
        <v/>
      </c>
    </row>
    <row r="17" customFormat="false" ht="15" hidden="false" customHeight="false" outlineLevel="0" collapsed="false">
      <c r="A17" s="18" t="s">
        <v>286</v>
      </c>
      <c r="B17" s="45" t="str">
        <f aca="false">IF(SUM(C6:C10)=0,"",C10/SUM(C6:C10))</f>
        <v/>
      </c>
    </row>
  </sheetData>
  <mergeCells count="3">
    <mergeCell ref="A1:E1"/>
    <mergeCell ref="A2:E2"/>
    <mergeCell ref="A3:E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2"/>
    <col collapsed="false" customWidth="true" hidden="false" outlineLevel="0" max="4" min="3" style="0" width="18"/>
    <col collapsed="false" customWidth="true" hidden="false" outlineLevel="0" max="6" min="5" style="0" width="12"/>
    <col collapsed="false" customWidth="true" hidden="false" outlineLevel="0" max="8" min="7" style="0" width="18"/>
  </cols>
  <sheetData>
    <row r="1" customFormat="false" ht="16.15" hidden="false" customHeight="false" outlineLevel="0" collapsed="false">
      <c r="A1" s="9" t="s">
        <v>287</v>
      </c>
      <c r="B1" s="9"/>
      <c r="C1" s="9"/>
      <c r="D1" s="9"/>
      <c r="E1" s="9"/>
      <c r="F1" s="9"/>
      <c r="G1" s="9"/>
      <c r="H1" s="9"/>
    </row>
    <row r="2" customFormat="false" ht="15" hidden="false" customHeight="false" outlineLevel="0" collapsed="false">
      <c r="A2" s="10" t="s">
        <v>288</v>
      </c>
      <c r="B2" s="10"/>
      <c r="C2" s="10"/>
      <c r="D2" s="10"/>
      <c r="E2" s="10"/>
      <c r="F2" s="10"/>
      <c r="G2" s="10"/>
      <c r="H2" s="10"/>
    </row>
    <row r="4" customFormat="false" ht="22.35" hidden="false" customHeight="false" outlineLevel="0" collapsed="false">
      <c r="A4" s="25" t="s">
        <v>223</v>
      </c>
      <c r="B4" s="25" t="s">
        <v>274</v>
      </c>
      <c r="C4" s="25" t="s">
        <v>289</v>
      </c>
      <c r="D4" s="25" t="s">
        <v>290</v>
      </c>
      <c r="E4" s="25" t="s">
        <v>291</v>
      </c>
      <c r="F4" s="25" t="s">
        <v>292</v>
      </c>
      <c r="G4" s="25" t="s">
        <v>293</v>
      </c>
      <c r="H4" s="25" t="s">
        <v>73</v>
      </c>
    </row>
    <row r="5" customFormat="false" ht="15" hidden="false" customHeight="false" outlineLevel="0" collapsed="false">
      <c r="A5" s="27" t="s">
        <v>239</v>
      </c>
      <c r="B5" s="34" t="n">
        <f aca="false">IF(A5="","",COUNTIF(PORTFOLIO!$E$6:$E$55,A5))</f>
        <v>1</v>
      </c>
      <c r="C5" s="38" t="n">
        <f aca="false">IF(A5="","",SUMIF(PORTFOLIO!$E$6:$E$55,A5,PORTFOLIO!$K$6:$K$55))</f>
        <v>5000000</v>
      </c>
      <c r="D5" s="38" t="n">
        <f aca="false">IF(A5="","",SUMIF(PORTFOLIO!$E$6:$E$55,A5,PORTFOLIO!$U$6:$U$55))</f>
        <v>5202840.79737709</v>
      </c>
      <c r="E5" s="34" t="n">
        <f aca="false">IF(A5="","",COUNTIFS(PORTFOLIO!$E$6:$E$55,A5,PORTFOLIO!$W$6:$W$55,"&gt;0"))</f>
        <v>1</v>
      </c>
      <c r="F5" s="46" t="n">
        <f aca="false">IF(OR(A5="",D5=0,D5=""),"",(SUMIFS(PORTFOLIO!$U$6:$U$55,PORTFOLIO!$E$6:$E$55,A5,PORTFOLIO!$X$6:$X$55,"&gt;30"))/D5)</f>
        <v>0</v>
      </c>
      <c r="G5" s="38" t="n">
        <f aca="false">IF(A5="","",SUMIF(REPAYMENTS!$E$5:$E$104,A5,REPAYMENTS!$F$5:$F$104))</f>
        <v>470735</v>
      </c>
      <c r="H5" s="38" t="n">
        <f aca="false">IF(OR(A5="",B5=0,B5=""),"",C5/B5)</f>
        <v>5000000</v>
      </c>
    </row>
    <row r="6" customFormat="false" ht="15" hidden="false" customHeight="false" outlineLevel="0" collapsed="false">
      <c r="A6" s="29"/>
      <c r="B6" s="34" t="str">
        <f aca="false">IF(A6="","",COUNTIF(PORTFOLIO!$E$6:$E$55,A6))</f>
        <v/>
      </c>
      <c r="C6" s="38" t="str">
        <f aca="false">IF(A6="","",SUMIF(PORTFOLIO!$E$6:$E$55,A6,PORTFOLIO!$K$6:$K$55))</f>
        <v/>
      </c>
      <c r="D6" s="38" t="str">
        <f aca="false">IF(A6="","",SUMIF(PORTFOLIO!$E$6:$E$55,A6,PORTFOLIO!$U$6:$U$55))</f>
        <v/>
      </c>
      <c r="E6" s="34" t="str">
        <f aca="false">IF(A6="","",COUNTIFS(PORTFOLIO!$E$6:$E$55,A6,PORTFOLIO!$W$6:$W$55,"&gt;0"))</f>
        <v/>
      </c>
      <c r="F6" s="46" t="str">
        <f aca="false">IF(OR(A6="",D6=0,D6=""),"",(SUMIFS(PORTFOLIO!$U$6:$U$55,PORTFOLIO!$E$6:$E$55,A6,PORTFOLIO!$X$6:$X$55,"&gt;30"))/D6)</f>
        <v/>
      </c>
      <c r="G6" s="38" t="str">
        <f aca="false">IF(A6="","",SUMIF(REPAYMENTS!$E$5:$E$104,A6,REPAYMENTS!$F$5:$F$104))</f>
        <v/>
      </c>
      <c r="H6" s="38" t="str">
        <f aca="false">IF(OR(A6="",B6=0,B6=""),"",C6/B6)</f>
        <v/>
      </c>
    </row>
    <row r="7" customFormat="false" ht="15" hidden="false" customHeight="false" outlineLevel="0" collapsed="false">
      <c r="A7" s="29"/>
      <c r="B7" s="34" t="str">
        <f aca="false">IF(A7="","",COUNTIF(PORTFOLIO!$E$6:$E$55,A7))</f>
        <v/>
      </c>
      <c r="C7" s="38" t="str">
        <f aca="false">IF(A7="","",SUMIF(PORTFOLIO!$E$6:$E$55,A7,PORTFOLIO!$K$6:$K$55))</f>
        <v/>
      </c>
      <c r="D7" s="38" t="str">
        <f aca="false">IF(A7="","",SUMIF(PORTFOLIO!$E$6:$E$55,A7,PORTFOLIO!$U$6:$U$55))</f>
        <v/>
      </c>
      <c r="E7" s="34" t="str">
        <f aca="false">IF(A7="","",COUNTIFS(PORTFOLIO!$E$6:$E$55,A7,PORTFOLIO!$W$6:$W$55,"&gt;0"))</f>
        <v/>
      </c>
      <c r="F7" s="46" t="str">
        <f aca="false">IF(OR(A7="",D7=0,D7=""),"",(SUMIFS(PORTFOLIO!$U$6:$U$55,PORTFOLIO!$E$6:$E$55,A7,PORTFOLIO!$X$6:$X$55,"&gt;30"))/D7)</f>
        <v/>
      </c>
      <c r="G7" s="38" t="str">
        <f aca="false">IF(A7="","",SUMIF(REPAYMENTS!$E$5:$E$104,A7,REPAYMENTS!$F$5:$F$104))</f>
        <v/>
      </c>
      <c r="H7" s="38" t="str">
        <f aca="false">IF(OR(A7="",B7=0,B7=""),"",C7/B7)</f>
        <v/>
      </c>
    </row>
    <row r="8" customFormat="false" ht="15" hidden="false" customHeight="false" outlineLevel="0" collapsed="false">
      <c r="A8" s="29"/>
      <c r="B8" s="34" t="str">
        <f aca="false">IF(A8="","",COUNTIF(PORTFOLIO!$E$6:$E$55,A8))</f>
        <v/>
      </c>
      <c r="C8" s="38" t="str">
        <f aca="false">IF(A8="","",SUMIF(PORTFOLIO!$E$6:$E$55,A8,PORTFOLIO!$K$6:$K$55))</f>
        <v/>
      </c>
      <c r="D8" s="38" t="str">
        <f aca="false">IF(A8="","",SUMIF(PORTFOLIO!$E$6:$E$55,A8,PORTFOLIO!$U$6:$U$55))</f>
        <v/>
      </c>
      <c r="E8" s="34" t="str">
        <f aca="false">IF(A8="","",COUNTIFS(PORTFOLIO!$E$6:$E$55,A8,PORTFOLIO!$W$6:$W$55,"&gt;0"))</f>
        <v/>
      </c>
      <c r="F8" s="46" t="str">
        <f aca="false">IF(OR(A8="",D8=0,D8=""),"",(SUMIFS(PORTFOLIO!$U$6:$U$55,PORTFOLIO!$E$6:$E$55,A8,PORTFOLIO!$X$6:$X$55,"&gt;30"))/D8)</f>
        <v/>
      </c>
      <c r="G8" s="38" t="str">
        <f aca="false">IF(A8="","",SUMIF(REPAYMENTS!$E$5:$E$104,A8,REPAYMENTS!$F$5:$F$104))</f>
        <v/>
      </c>
      <c r="H8" s="38" t="str">
        <f aca="false">IF(OR(A8="",B8=0,B8=""),"",C8/B8)</f>
        <v/>
      </c>
    </row>
    <row r="9" customFormat="false" ht="15" hidden="false" customHeight="false" outlineLevel="0" collapsed="false">
      <c r="A9" s="29"/>
      <c r="B9" s="34" t="str">
        <f aca="false">IF(A9="","",COUNTIF(PORTFOLIO!$E$6:$E$55,A9))</f>
        <v/>
      </c>
      <c r="C9" s="38" t="str">
        <f aca="false">IF(A9="","",SUMIF(PORTFOLIO!$E$6:$E$55,A9,PORTFOLIO!$K$6:$K$55))</f>
        <v/>
      </c>
      <c r="D9" s="38" t="str">
        <f aca="false">IF(A9="","",SUMIF(PORTFOLIO!$E$6:$E$55,A9,PORTFOLIO!$U$6:$U$55))</f>
        <v/>
      </c>
      <c r="E9" s="34" t="str">
        <f aca="false">IF(A9="","",COUNTIFS(PORTFOLIO!$E$6:$E$55,A9,PORTFOLIO!$W$6:$W$55,"&gt;0"))</f>
        <v/>
      </c>
      <c r="F9" s="46" t="str">
        <f aca="false">IF(OR(A9="",D9=0,D9=""),"",(SUMIFS(PORTFOLIO!$U$6:$U$55,PORTFOLIO!$E$6:$E$55,A9,PORTFOLIO!$X$6:$X$55,"&gt;30"))/D9)</f>
        <v/>
      </c>
      <c r="G9" s="38" t="str">
        <f aca="false">IF(A9="","",SUMIF(REPAYMENTS!$E$5:$E$104,A9,REPAYMENTS!$F$5:$F$104))</f>
        <v/>
      </c>
      <c r="H9" s="38" t="str">
        <f aca="false">IF(OR(A9="",B9=0,B9=""),"",C9/B9)</f>
        <v/>
      </c>
    </row>
    <row r="10" customFormat="false" ht="15" hidden="false" customHeight="false" outlineLevel="0" collapsed="false">
      <c r="A10" s="29"/>
      <c r="B10" s="34" t="str">
        <f aca="false">IF(A10="","",COUNTIF(PORTFOLIO!$E$6:$E$55,A10))</f>
        <v/>
      </c>
      <c r="C10" s="38" t="str">
        <f aca="false">IF(A10="","",SUMIF(PORTFOLIO!$E$6:$E$55,A10,PORTFOLIO!$K$6:$K$55))</f>
        <v/>
      </c>
      <c r="D10" s="38" t="str">
        <f aca="false">IF(A10="","",SUMIF(PORTFOLIO!$E$6:$E$55,A10,PORTFOLIO!$U$6:$U$55))</f>
        <v/>
      </c>
      <c r="E10" s="34" t="str">
        <f aca="false">IF(A10="","",COUNTIFS(PORTFOLIO!$E$6:$E$55,A10,PORTFOLIO!$W$6:$W$55,"&gt;0"))</f>
        <v/>
      </c>
      <c r="F10" s="46" t="str">
        <f aca="false">IF(OR(A10="",D10=0,D10=""),"",(SUMIFS(PORTFOLIO!$U$6:$U$55,PORTFOLIO!$E$6:$E$55,A10,PORTFOLIO!$X$6:$X$55,"&gt;30"))/D10)</f>
        <v/>
      </c>
      <c r="G10" s="38" t="str">
        <f aca="false">IF(A10="","",SUMIF(REPAYMENTS!$E$5:$E$104,A10,REPAYMENTS!$F$5:$F$104))</f>
        <v/>
      </c>
      <c r="H10" s="38" t="str">
        <f aca="false">IF(OR(A10="",B10=0,B10=""),"",C10/B10)</f>
        <v/>
      </c>
    </row>
    <row r="11" customFormat="false" ht="15" hidden="false" customHeight="false" outlineLevel="0" collapsed="false">
      <c r="A11" s="29"/>
      <c r="B11" s="34" t="str">
        <f aca="false">IF(A11="","",COUNTIF(PORTFOLIO!$E$6:$E$55,A11))</f>
        <v/>
      </c>
      <c r="C11" s="38" t="str">
        <f aca="false">IF(A11="","",SUMIF(PORTFOLIO!$E$6:$E$55,A11,PORTFOLIO!$K$6:$K$55))</f>
        <v/>
      </c>
      <c r="D11" s="38" t="str">
        <f aca="false">IF(A11="","",SUMIF(PORTFOLIO!$E$6:$E$55,A11,PORTFOLIO!$U$6:$U$55))</f>
        <v/>
      </c>
      <c r="E11" s="34" t="str">
        <f aca="false">IF(A11="","",COUNTIFS(PORTFOLIO!$E$6:$E$55,A11,PORTFOLIO!$W$6:$W$55,"&gt;0"))</f>
        <v/>
      </c>
      <c r="F11" s="46" t="str">
        <f aca="false">IF(OR(A11="",D11=0,D11=""),"",(SUMIFS(PORTFOLIO!$U$6:$U$55,PORTFOLIO!$E$6:$E$55,A11,PORTFOLIO!$X$6:$X$55,"&gt;30"))/D11)</f>
        <v/>
      </c>
      <c r="G11" s="38" t="str">
        <f aca="false">IF(A11="","",SUMIF(REPAYMENTS!$E$5:$E$104,A11,REPAYMENTS!$F$5:$F$104))</f>
        <v/>
      </c>
      <c r="H11" s="38" t="str">
        <f aca="false">IF(OR(A11="",B11=0,B11=""),"",C11/B11)</f>
        <v/>
      </c>
    </row>
    <row r="12" customFormat="false" ht="15" hidden="false" customHeight="false" outlineLevel="0" collapsed="false">
      <c r="A12" s="29"/>
      <c r="B12" s="34" t="str">
        <f aca="false">IF(A12="","",COUNTIF(PORTFOLIO!$E$6:$E$55,A12))</f>
        <v/>
      </c>
      <c r="C12" s="38" t="str">
        <f aca="false">IF(A12="","",SUMIF(PORTFOLIO!$E$6:$E$55,A12,PORTFOLIO!$K$6:$K$55))</f>
        <v/>
      </c>
      <c r="D12" s="38" t="str">
        <f aca="false">IF(A12="","",SUMIF(PORTFOLIO!$E$6:$E$55,A12,PORTFOLIO!$U$6:$U$55))</f>
        <v/>
      </c>
      <c r="E12" s="34" t="str">
        <f aca="false">IF(A12="","",COUNTIFS(PORTFOLIO!$E$6:$E$55,A12,PORTFOLIO!$W$6:$W$55,"&gt;0"))</f>
        <v/>
      </c>
      <c r="F12" s="46" t="str">
        <f aca="false">IF(OR(A12="",D12=0,D12=""),"",(SUMIFS(PORTFOLIO!$U$6:$U$55,PORTFOLIO!$E$6:$E$55,A12,PORTFOLIO!$X$6:$X$55,"&gt;30"))/D12)</f>
        <v/>
      </c>
      <c r="G12" s="38" t="str">
        <f aca="false">IF(A12="","",SUMIF(REPAYMENTS!$E$5:$E$104,A12,REPAYMENTS!$F$5:$F$104))</f>
        <v/>
      </c>
      <c r="H12" s="38" t="str">
        <f aca="false">IF(OR(A12="",B12=0,B12=""),"",C12/B12)</f>
        <v/>
      </c>
    </row>
    <row r="13" customFormat="false" ht="15" hidden="false" customHeight="false" outlineLevel="0" collapsed="false">
      <c r="A13" s="29"/>
      <c r="B13" s="34" t="str">
        <f aca="false">IF(A13="","",COUNTIF(PORTFOLIO!$E$6:$E$55,A13))</f>
        <v/>
      </c>
      <c r="C13" s="38" t="str">
        <f aca="false">IF(A13="","",SUMIF(PORTFOLIO!$E$6:$E$55,A13,PORTFOLIO!$K$6:$K$55))</f>
        <v/>
      </c>
      <c r="D13" s="38" t="str">
        <f aca="false">IF(A13="","",SUMIF(PORTFOLIO!$E$6:$E$55,A13,PORTFOLIO!$U$6:$U$55))</f>
        <v/>
      </c>
      <c r="E13" s="34" t="str">
        <f aca="false">IF(A13="","",COUNTIFS(PORTFOLIO!$E$6:$E$55,A13,PORTFOLIO!$W$6:$W$55,"&gt;0"))</f>
        <v/>
      </c>
      <c r="F13" s="46" t="str">
        <f aca="false">IF(OR(A13="",D13=0,D13=""),"",(SUMIFS(PORTFOLIO!$U$6:$U$55,PORTFOLIO!$E$6:$E$55,A13,PORTFOLIO!$X$6:$X$55,"&gt;30"))/D13)</f>
        <v/>
      </c>
      <c r="G13" s="38" t="str">
        <f aca="false">IF(A13="","",SUMIF(REPAYMENTS!$E$5:$E$104,A13,REPAYMENTS!$F$5:$F$104))</f>
        <v/>
      </c>
      <c r="H13" s="38" t="str">
        <f aca="false">IF(OR(A13="",B13=0,B13=""),"",C13/B13)</f>
        <v/>
      </c>
    </row>
    <row r="14" customFormat="false" ht="15" hidden="false" customHeight="false" outlineLevel="0" collapsed="false">
      <c r="A14" s="29"/>
      <c r="B14" s="34" t="str">
        <f aca="false">IF(A14="","",COUNTIF(PORTFOLIO!$E$6:$E$55,A14))</f>
        <v/>
      </c>
      <c r="C14" s="38" t="str">
        <f aca="false">IF(A14="","",SUMIF(PORTFOLIO!$E$6:$E$55,A14,PORTFOLIO!$K$6:$K$55))</f>
        <v/>
      </c>
      <c r="D14" s="38" t="str">
        <f aca="false">IF(A14="","",SUMIF(PORTFOLIO!$E$6:$E$55,A14,PORTFOLIO!$U$6:$U$55))</f>
        <v/>
      </c>
      <c r="E14" s="34" t="str">
        <f aca="false">IF(A14="","",COUNTIFS(PORTFOLIO!$E$6:$E$55,A14,PORTFOLIO!$W$6:$W$55,"&gt;0"))</f>
        <v/>
      </c>
      <c r="F14" s="46" t="str">
        <f aca="false">IF(OR(A14="",D14=0,D14=""),"",(SUMIFS(PORTFOLIO!$U$6:$U$55,PORTFOLIO!$E$6:$E$55,A14,PORTFOLIO!$X$6:$X$55,"&gt;30"))/D14)</f>
        <v/>
      </c>
      <c r="G14" s="38" t="str">
        <f aca="false">IF(A14="","",SUMIF(REPAYMENTS!$E$5:$E$104,A14,REPAYMENTS!$F$5:$F$104))</f>
        <v/>
      </c>
      <c r="H14" s="38" t="str">
        <f aca="false">IF(OR(A14="",B14=0,B14=""),"",C14/B14)</f>
        <v/>
      </c>
    </row>
    <row r="15" customFormat="false" ht="15" hidden="false" customHeight="false" outlineLevel="0" collapsed="false">
      <c r="A15" s="29"/>
      <c r="B15" s="34" t="str">
        <f aca="false">IF(A15="","",COUNTIF(PORTFOLIO!$E$6:$E$55,A15))</f>
        <v/>
      </c>
      <c r="C15" s="38" t="str">
        <f aca="false">IF(A15="","",SUMIF(PORTFOLIO!$E$6:$E$55,A15,PORTFOLIO!$K$6:$K$55))</f>
        <v/>
      </c>
      <c r="D15" s="38" t="str">
        <f aca="false">IF(A15="","",SUMIF(PORTFOLIO!$E$6:$E$55,A15,PORTFOLIO!$U$6:$U$55))</f>
        <v/>
      </c>
      <c r="E15" s="34" t="str">
        <f aca="false">IF(A15="","",COUNTIFS(PORTFOLIO!$E$6:$E$55,A15,PORTFOLIO!$W$6:$W$55,"&gt;0"))</f>
        <v/>
      </c>
      <c r="F15" s="46" t="str">
        <f aca="false">IF(OR(A15="",D15=0,D15=""),"",(SUMIFS(PORTFOLIO!$U$6:$U$55,PORTFOLIO!$E$6:$E$55,A15,PORTFOLIO!$X$6:$X$55,"&gt;30"))/D15)</f>
        <v/>
      </c>
      <c r="G15" s="38" t="str">
        <f aca="false">IF(A15="","",SUMIF(REPAYMENTS!$E$5:$E$104,A15,REPAYMENTS!$F$5:$F$104))</f>
        <v/>
      </c>
      <c r="H15" s="38" t="str">
        <f aca="false">IF(OR(A15="",B15=0,B15=""),"",C15/B15)</f>
        <v/>
      </c>
    </row>
    <row r="16" customFormat="false" ht="15" hidden="false" customHeight="false" outlineLevel="0" collapsed="false">
      <c r="A16" s="29"/>
      <c r="B16" s="34" t="str">
        <f aca="false">IF(A16="","",COUNTIF(PORTFOLIO!$E$6:$E$55,A16))</f>
        <v/>
      </c>
      <c r="C16" s="38" t="str">
        <f aca="false">IF(A16="","",SUMIF(PORTFOLIO!$E$6:$E$55,A16,PORTFOLIO!$K$6:$K$55))</f>
        <v/>
      </c>
      <c r="D16" s="38" t="str">
        <f aca="false">IF(A16="","",SUMIF(PORTFOLIO!$E$6:$E$55,A16,PORTFOLIO!$U$6:$U$55))</f>
        <v/>
      </c>
      <c r="E16" s="34" t="str">
        <f aca="false">IF(A16="","",COUNTIFS(PORTFOLIO!$E$6:$E$55,A16,PORTFOLIO!$W$6:$W$55,"&gt;0"))</f>
        <v/>
      </c>
      <c r="F16" s="46" t="str">
        <f aca="false">IF(OR(A16="",D16=0,D16=""),"",(SUMIFS(PORTFOLIO!$U$6:$U$55,PORTFOLIO!$E$6:$E$55,A16,PORTFOLIO!$X$6:$X$55,"&gt;30"))/D16)</f>
        <v/>
      </c>
      <c r="G16" s="38" t="str">
        <f aca="false">IF(A16="","",SUMIF(REPAYMENTS!$E$5:$E$104,A16,REPAYMENTS!$F$5:$F$104))</f>
        <v/>
      </c>
      <c r="H16" s="38" t="str">
        <f aca="false">IF(OR(A16="",B16=0,B16=""),"",C16/B16)</f>
        <v/>
      </c>
    </row>
    <row r="17" customFormat="false" ht="15" hidden="false" customHeight="false" outlineLevel="0" collapsed="false">
      <c r="A17" s="29"/>
      <c r="B17" s="34" t="str">
        <f aca="false">IF(A17="","",COUNTIF(PORTFOLIO!$E$6:$E$55,A17))</f>
        <v/>
      </c>
      <c r="C17" s="38" t="str">
        <f aca="false">IF(A17="","",SUMIF(PORTFOLIO!$E$6:$E$55,A17,PORTFOLIO!$K$6:$K$55))</f>
        <v/>
      </c>
      <c r="D17" s="38" t="str">
        <f aca="false">IF(A17="","",SUMIF(PORTFOLIO!$E$6:$E$55,A17,PORTFOLIO!$U$6:$U$55))</f>
        <v/>
      </c>
      <c r="E17" s="34" t="str">
        <f aca="false">IF(A17="","",COUNTIFS(PORTFOLIO!$E$6:$E$55,A17,PORTFOLIO!$W$6:$W$55,"&gt;0"))</f>
        <v/>
      </c>
      <c r="F17" s="46" t="str">
        <f aca="false">IF(OR(A17="",D17=0,D17=""),"",(SUMIFS(PORTFOLIO!$U$6:$U$55,PORTFOLIO!$E$6:$E$55,A17,PORTFOLIO!$X$6:$X$55,"&gt;30"))/D17)</f>
        <v/>
      </c>
      <c r="G17" s="38" t="str">
        <f aca="false">IF(A17="","",SUMIF(REPAYMENTS!$E$5:$E$104,A17,REPAYMENTS!$F$5:$F$104))</f>
        <v/>
      </c>
      <c r="H17" s="38" t="str">
        <f aca="false">IF(OR(A17="",B17=0,B17=""),"",C17/B17)</f>
        <v/>
      </c>
    </row>
    <row r="18" customFormat="false" ht="15" hidden="false" customHeight="false" outlineLevel="0" collapsed="false">
      <c r="A18" s="29"/>
      <c r="B18" s="34" t="str">
        <f aca="false">IF(A18="","",COUNTIF(PORTFOLIO!$E$6:$E$55,A18))</f>
        <v/>
      </c>
      <c r="C18" s="38" t="str">
        <f aca="false">IF(A18="","",SUMIF(PORTFOLIO!$E$6:$E$55,A18,PORTFOLIO!$K$6:$K$55))</f>
        <v/>
      </c>
      <c r="D18" s="38" t="str">
        <f aca="false">IF(A18="","",SUMIF(PORTFOLIO!$E$6:$E$55,A18,PORTFOLIO!$U$6:$U$55))</f>
        <v/>
      </c>
      <c r="E18" s="34" t="str">
        <f aca="false">IF(A18="","",COUNTIFS(PORTFOLIO!$E$6:$E$55,A18,PORTFOLIO!$W$6:$W$55,"&gt;0"))</f>
        <v/>
      </c>
      <c r="F18" s="46" t="str">
        <f aca="false">IF(OR(A18="",D18=0,D18=""),"",(SUMIFS(PORTFOLIO!$U$6:$U$55,PORTFOLIO!$E$6:$E$55,A18,PORTFOLIO!$X$6:$X$55,"&gt;30"))/D18)</f>
        <v/>
      </c>
      <c r="G18" s="38" t="str">
        <f aca="false">IF(A18="","",SUMIF(REPAYMENTS!$E$5:$E$104,A18,REPAYMENTS!$F$5:$F$104))</f>
        <v/>
      </c>
      <c r="H18" s="38" t="str">
        <f aca="false">IF(OR(A18="",B18=0,B18=""),"",C18/B18)</f>
        <v/>
      </c>
    </row>
    <row r="19" customFormat="false" ht="15" hidden="false" customHeight="false" outlineLevel="0" collapsed="false">
      <c r="A19" s="29"/>
      <c r="B19" s="34" t="str">
        <f aca="false">IF(A19="","",COUNTIF(PORTFOLIO!$E$6:$E$55,A19))</f>
        <v/>
      </c>
      <c r="C19" s="38" t="str">
        <f aca="false">IF(A19="","",SUMIF(PORTFOLIO!$E$6:$E$55,A19,PORTFOLIO!$K$6:$K$55))</f>
        <v/>
      </c>
      <c r="D19" s="38" t="str">
        <f aca="false">IF(A19="","",SUMIF(PORTFOLIO!$E$6:$E$55,A19,PORTFOLIO!$U$6:$U$55))</f>
        <v/>
      </c>
      <c r="E19" s="34" t="str">
        <f aca="false">IF(A19="","",COUNTIFS(PORTFOLIO!$E$6:$E$55,A19,PORTFOLIO!$W$6:$W$55,"&gt;0"))</f>
        <v/>
      </c>
      <c r="F19" s="46" t="str">
        <f aca="false">IF(OR(A19="",D19=0,D19=""),"",(SUMIFS(PORTFOLIO!$U$6:$U$55,PORTFOLIO!$E$6:$E$55,A19,PORTFOLIO!$X$6:$X$55,"&gt;30"))/D19)</f>
        <v/>
      </c>
      <c r="G19" s="38" t="str">
        <f aca="false">IF(A19="","",SUMIF(REPAYMENTS!$E$5:$E$104,A19,REPAYMENTS!$F$5:$F$104))</f>
        <v/>
      </c>
      <c r="H19" s="38" t="str">
        <f aca="false">IF(OR(A19="",B19=0,B19=""),"",C19/B19)</f>
        <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8"/>
    <col collapsed="false" customWidth="true" hidden="false" outlineLevel="0" max="4" min="4" style="0" width="14"/>
    <col collapsed="false" customWidth="true" hidden="false" outlineLevel="0" max="5" min="5" style="0" width="18"/>
    <col collapsed="false" customWidth="true" hidden="false" outlineLevel="0" max="6" min="6" style="0" width="24"/>
    <col collapsed="false" customWidth="true" hidden="false" outlineLevel="0" max="7" min="7" style="0" width="16"/>
    <col collapsed="false" customWidth="true" hidden="false" outlineLevel="0" max="8" min="8" style="0" width="18"/>
    <col collapsed="false" customWidth="true" hidden="false" outlineLevel="0" max="9" min="9" style="0" width="16"/>
    <col collapsed="false" customWidth="true" hidden="false" outlineLevel="0" max="10" min="10" style="0" width="26"/>
  </cols>
  <sheetData>
    <row r="1" customFormat="false" ht="16.15" hidden="false" customHeight="false" outlineLevel="0" collapsed="false">
      <c r="A1" s="9" t="s">
        <v>294</v>
      </c>
      <c r="B1" s="9"/>
      <c r="C1" s="9"/>
      <c r="D1" s="9"/>
      <c r="E1" s="9"/>
      <c r="F1" s="9"/>
      <c r="G1" s="9"/>
      <c r="H1" s="9"/>
      <c r="I1" s="9"/>
      <c r="J1" s="9"/>
    </row>
    <row r="2" customFormat="false" ht="15" hidden="false" customHeight="false" outlineLevel="0" collapsed="false">
      <c r="A2" s="10" t="s">
        <v>295</v>
      </c>
      <c r="B2" s="10"/>
      <c r="C2" s="10"/>
      <c r="D2" s="10"/>
      <c r="E2" s="10"/>
      <c r="F2" s="10"/>
      <c r="G2" s="10"/>
      <c r="H2" s="10"/>
      <c r="I2" s="10"/>
      <c r="J2" s="10"/>
    </row>
    <row r="3" customFormat="false" ht="25.5" hidden="false" customHeight="true" outlineLevel="0" collapsed="false">
      <c r="A3" s="17" t="s">
        <v>296</v>
      </c>
      <c r="B3" s="17"/>
      <c r="C3" s="17"/>
      <c r="D3" s="17"/>
      <c r="E3" s="17"/>
      <c r="F3" s="17"/>
      <c r="G3" s="17"/>
      <c r="H3" s="17"/>
      <c r="I3" s="17"/>
      <c r="J3" s="17"/>
    </row>
    <row r="5" customFormat="false" ht="22.35" hidden="false" customHeight="false" outlineLevel="0" collapsed="false">
      <c r="A5" s="25" t="s">
        <v>297</v>
      </c>
      <c r="B5" s="25" t="s">
        <v>243</v>
      </c>
      <c r="C5" s="25" t="s">
        <v>216</v>
      </c>
      <c r="D5" s="25" t="s">
        <v>298</v>
      </c>
      <c r="E5" s="25" t="s">
        <v>299</v>
      </c>
      <c r="F5" s="25" t="s">
        <v>300</v>
      </c>
      <c r="G5" s="25" t="s">
        <v>16</v>
      </c>
      <c r="H5" s="25" t="s">
        <v>301</v>
      </c>
      <c r="I5" s="25" t="s">
        <v>302</v>
      </c>
      <c r="J5" s="25" t="s">
        <v>160</v>
      </c>
    </row>
    <row r="6" customFormat="false" ht="15" hidden="false" customHeight="false" outlineLevel="0" collapsed="false">
      <c r="A6" s="29"/>
      <c r="B6" s="29"/>
      <c r="C6" s="29" t="str">
        <f aca="false">IFERROR(IF(B6="","",VLOOKUP(B6,PORTFOLIO!$A:$C,3,0)),"Loan ID not found")</f>
        <v/>
      </c>
      <c r="D6" s="33"/>
      <c r="E6" s="30"/>
      <c r="F6" s="29"/>
      <c r="G6" s="29"/>
      <c r="H6" s="30"/>
      <c r="I6" s="30" t="str">
        <f aca="false">IF(E6="","",E6-IF(H6="",0,H6))</f>
        <v/>
      </c>
      <c r="J6" s="29"/>
    </row>
    <row r="7" customFormat="false" ht="15" hidden="false" customHeight="false" outlineLevel="0" collapsed="false">
      <c r="A7" s="29"/>
      <c r="B7" s="29"/>
      <c r="C7" s="29" t="str">
        <f aca="false">IFERROR(IF(B7="","",VLOOKUP(B7,PORTFOLIO!$A:$C,3,0)),"Loan ID not found")</f>
        <v/>
      </c>
      <c r="D7" s="33"/>
      <c r="E7" s="30"/>
      <c r="F7" s="29"/>
      <c r="G7" s="29"/>
      <c r="H7" s="30"/>
      <c r="I7" s="30" t="str">
        <f aca="false">IF(E7="","",E7-IF(H7="",0,H7))</f>
        <v/>
      </c>
      <c r="J7" s="29"/>
    </row>
    <row r="8" customFormat="false" ht="15" hidden="false" customHeight="false" outlineLevel="0" collapsed="false">
      <c r="A8" s="29"/>
      <c r="B8" s="29"/>
      <c r="C8" s="29" t="str">
        <f aca="false">IFERROR(IF(B8="","",VLOOKUP(B8,PORTFOLIO!$A:$C,3,0)),"Loan ID not found")</f>
        <v/>
      </c>
      <c r="D8" s="33"/>
      <c r="E8" s="30"/>
      <c r="F8" s="29"/>
      <c r="G8" s="29"/>
      <c r="H8" s="30"/>
      <c r="I8" s="30" t="str">
        <f aca="false">IF(E8="","",E8-IF(H8="",0,H8))</f>
        <v/>
      </c>
      <c r="J8" s="29"/>
    </row>
    <row r="9" customFormat="false" ht="15" hidden="false" customHeight="false" outlineLevel="0" collapsed="false">
      <c r="A9" s="29"/>
      <c r="B9" s="29"/>
      <c r="C9" s="29" t="str">
        <f aca="false">IFERROR(IF(B9="","",VLOOKUP(B9,PORTFOLIO!$A:$C,3,0)),"Loan ID not found")</f>
        <v/>
      </c>
      <c r="D9" s="33"/>
      <c r="E9" s="30"/>
      <c r="F9" s="29"/>
      <c r="G9" s="29"/>
      <c r="H9" s="30"/>
      <c r="I9" s="30" t="str">
        <f aca="false">IF(E9="","",E9-IF(H9="",0,H9))</f>
        <v/>
      </c>
      <c r="J9" s="29"/>
    </row>
    <row r="10" customFormat="false" ht="15" hidden="false" customHeight="false" outlineLevel="0" collapsed="false">
      <c r="A10" s="29"/>
      <c r="B10" s="29"/>
      <c r="C10" s="29" t="str">
        <f aca="false">IFERROR(IF(B10="","",VLOOKUP(B10,PORTFOLIO!$A:$C,3,0)),"Loan ID not found")</f>
        <v/>
      </c>
      <c r="D10" s="33"/>
      <c r="E10" s="30"/>
      <c r="F10" s="29"/>
      <c r="G10" s="29"/>
      <c r="H10" s="30"/>
      <c r="I10" s="30" t="str">
        <f aca="false">IF(E10="","",E10-IF(H10="",0,H10))</f>
        <v/>
      </c>
      <c r="J10" s="29"/>
    </row>
    <row r="11" customFormat="false" ht="15" hidden="false" customHeight="false" outlineLevel="0" collapsed="false">
      <c r="A11" s="29"/>
      <c r="B11" s="29"/>
      <c r="C11" s="29" t="str">
        <f aca="false">IFERROR(IF(B11="","",VLOOKUP(B11,PORTFOLIO!$A:$C,3,0)),"Loan ID not found")</f>
        <v/>
      </c>
      <c r="D11" s="33"/>
      <c r="E11" s="30"/>
      <c r="F11" s="29"/>
      <c r="G11" s="29"/>
      <c r="H11" s="30"/>
      <c r="I11" s="30" t="str">
        <f aca="false">IF(E11="","",E11-IF(H11="",0,H11))</f>
        <v/>
      </c>
      <c r="J11" s="29"/>
    </row>
    <row r="12" customFormat="false" ht="15" hidden="false" customHeight="false" outlineLevel="0" collapsed="false">
      <c r="A12" s="29"/>
      <c r="B12" s="29"/>
      <c r="C12" s="29" t="str">
        <f aca="false">IFERROR(IF(B12="","",VLOOKUP(B12,PORTFOLIO!$A:$C,3,0)),"Loan ID not found")</f>
        <v/>
      </c>
      <c r="D12" s="33"/>
      <c r="E12" s="30"/>
      <c r="F12" s="29"/>
      <c r="G12" s="29"/>
      <c r="H12" s="30"/>
      <c r="I12" s="30" t="str">
        <f aca="false">IF(E12="","",E12-IF(H12="",0,H12))</f>
        <v/>
      </c>
      <c r="J12" s="29"/>
    </row>
    <row r="13" customFormat="false" ht="15" hidden="false" customHeight="false" outlineLevel="0" collapsed="false">
      <c r="A13" s="29"/>
      <c r="B13" s="29"/>
      <c r="C13" s="29" t="str">
        <f aca="false">IFERROR(IF(B13="","",VLOOKUP(B13,PORTFOLIO!$A:$C,3,0)),"Loan ID not found")</f>
        <v/>
      </c>
      <c r="D13" s="33"/>
      <c r="E13" s="30"/>
      <c r="F13" s="29"/>
      <c r="G13" s="29"/>
      <c r="H13" s="30"/>
      <c r="I13" s="30" t="str">
        <f aca="false">IF(E13="","",E13-IF(H13="",0,H13))</f>
        <v/>
      </c>
      <c r="J13" s="29"/>
    </row>
    <row r="14" customFormat="false" ht="15" hidden="false" customHeight="false" outlineLevel="0" collapsed="false">
      <c r="A14" s="29"/>
      <c r="B14" s="29"/>
      <c r="C14" s="29" t="str">
        <f aca="false">IFERROR(IF(B14="","",VLOOKUP(B14,PORTFOLIO!$A:$C,3,0)),"Loan ID not found")</f>
        <v/>
      </c>
      <c r="D14" s="33"/>
      <c r="E14" s="30"/>
      <c r="F14" s="29"/>
      <c r="G14" s="29"/>
      <c r="H14" s="30"/>
      <c r="I14" s="30" t="str">
        <f aca="false">IF(E14="","",E14-IF(H14="",0,H14))</f>
        <v/>
      </c>
      <c r="J14" s="29"/>
    </row>
    <row r="15" customFormat="false" ht="15" hidden="false" customHeight="false" outlineLevel="0" collapsed="false">
      <c r="A15" s="29"/>
      <c r="B15" s="29"/>
      <c r="C15" s="29" t="str">
        <f aca="false">IFERROR(IF(B15="","",VLOOKUP(B15,PORTFOLIO!$A:$C,3,0)),"Loan ID not found")</f>
        <v/>
      </c>
      <c r="D15" s="33"/>
      <c r="E15" s="30"/>
      <c r="F15" s="29"/>
      <c r="G15" s="29"/>
      <c r="H15" s="30"/>
      <c r="I15" s="30" t="str">
        <f aca="false">IF(E15="","",E15-IF(H15="",0,H15))</f>
        <v/>
      </c>
      <c r="J15" s="29"/>
    </row>
    <row r="16" customFormat="false" ht="15" hidden="false" customHeight="false" outlineLevel="0" collapsed="false">
      <c r="A16" s="29"/>
      <c r="B16" s="29"/>
      <c r="C16" s="29" t="str">
        <f aca="false">IFERROR(IF(B16="","",VLOOKUP(B16,PORTFOLIO!$A:$C,3,0)),"Loan ID not found")</f>
        <v/>
      </c>
      <c r="D16" s="33"/>
      <c r="E16" s="30"/>
      <c r="F16" s="29"/>
      <c r="G16" s="29"/>
      <c r="H16" s="30"/>
      <c r="I16" s="30" t="str">
        <f aca="false">IF(E16="","",E16-IF(H16="",0,H16))</f>
        <v/>
      </c>
      <c r="J16" s="29"/>
    </row>
    <row r="17" customFormat="false" ht="15" hidden="false" customHeight="false" outlineLevel="0" collapsed="false">
      <c r="A17" s="29"/>
      <c r="B17" s="29"/>
      <c r="C17" s="29" t="str">
        <f aca="false">IFERROR(IF(B17="","",VLOOKUP(B17,PORTFOLIO!$A:$C,3,0)),"Loan ID not found")</f>
        <v/>
      </c>
      <c r="D17" s="33"/>
      <c r="E17" s="30"/>
      <c r="F17" s="29"/>
      <c r="G17" s="29"/>
      <c r="H17" s="30"/>
      <c r="I17" s="30" t="str">
        <f aca="false">IF(E17="","",E17-IF(H17="",0,H17))</f>
        <v/>
      </c>
      <c r="J17" s="29"/>
    </row>
    <row r="18" customFormat="false" ht="15" hidden="false" customHeight="false" outlineLevel="0" collapsed="false">
      <c r="A18" s="29"/>
      <c r="B18" s="29"/>
      <c r="C18" s="29" t="str">
        <f aca="false">IFERROR(IF(B18="","",VLOOKUP(B18,PORTFOLIO!$A:$C,3,0)),"Loan ID not found")</f>
        <v/>
      </c>
      <c r="D18" s="33"/>
      <c r="E18" s="30"/>
      <c r="F18" s="29"/>
      <c r="G18" s="29"/>
      <c r="H18" s="30"/>
      <c r="I18" s="30" t="str">
        <f aca="false">IF(E18="","",E18-IF(H18="",0,H18))</f>
        <v/>
      </c>
      <c r="J18" s="29"/>
    </row>
    <row r="19" customFormat="false" ht="15" hidden="false" customHeight="false" outlineLevel="0" collapsed="false">
      <c r="A19" s="29"/>
      <c r="B19" s="29"/>
      <c r="C19" s="29" t="str">
        <f aca="false">IFERROR(IF(B19="","",VLOOKUP(B19,PORTFOLIO!$A:$C,3,0)),"Loan ID not found")</f>
        <v/>
      </c>
      <c r="D19" s="33"/>
      <c r="E19" s="30"/>
      <c r="F19" s="29"/>
      <c r="G19" s="29"/>
      <c r="H19" s="30"/>
      <c r="I19" s="30" t="str">
        <f aca="false">IF(E19="","",E19-IF(H19="",0,H19))</f>
        <v/>
      </c>
      <c r="J19" s="29"/>
    </row>
    <row r="20" customFormat="false" ht="15" hidden="false" customHeight="false" outlineLevel="0" collapsed="false">
      <c r="A20" s="29"/>
      <c r="B20" s="29"/>
      <c r="C20" s="29" t="str">
        <f aca="false">IFERROR(IF(B20="","",VLOOKUP(B20,PORTFOLIO!$A:$C,3,0)),"Loan ID not found")</f>
        <v/>
      </c>
      <c r="D20" s="33"/>
      <c r="E20" s="30"/>
      <c r="F20" s="29"/>
      <c r="G20" s="29"/>
      <c r="H20" s="30"/>
      <c r="I20" s="30" t="str">
        <f aca="false">IF(E20="","",E20-IF(H20="",0,H20))</f>
        <v/>
      </c>
      <c r="J20" s="29"/>
    </row>
    <row r="21" customFormat="false" ht="15" hidden="false" customHeight="false" outlineLevel="0" collapsed="false">
      <c r="A21" s="29"/>
      <c r="B21" s="29"/>
      <c r="C21" s="29" t="str">
        <f aca="false">IFERROR(IF(B21="","",VLOOKUP(B21,PORTFOLIO!$A:$C,3,0)),"Loan ID not found")</f>
        <v/>
      </c>
      <c r="D21" s="33"/>
      <c r="E21" s="30"/>
      <c r="F21" s="29"/>
      <c r="G21" s="29"/>
      <c r="H21" s="30"/>
      <c r="I21" s="30" t="str">
        <f aca="false">IF(E21="","",E21-IF(H21="",0,H21))</f>
        <v/>
      </c>
      <c r="J21" s="29"/>
    </row>
    <row r="22" customFormat="false" ht="15" hidden="false" customHeight="false" outlineLevel="0" collapsed="false">
      <c r="A22" s="29"/>
      <c r="B22" s="29"/>
      <c r="C22" s="29" t="str">
        <f aca="false">IFERROR(IF(B22="","",VLOOKUP(B22,PORTFOLIO!$A:$C,3,0)),"Loan ID not found")</f>
        <v/>
      </c>
      <c r="D22" s="33"/>
      <c r="E22" s="30"/>
      <c r="F22" s="29"/>
      <c r="G22" s="29"/>
      <c r="H22" s="30"/>
      <c r="I22" s="30" t="str">
        <f aca="false">IF(E22="","",E22-IF(H22="",0,H22))</f>
        <v/>
      </c>
      <c r="J22" s="29"/>
    </row>
    <row r="23" customFormat="false" ht="15" hidden="false" customHeight="false" outlineLevel="0" collapsed="false">
      <c r="A23" s="29"/>
      <c r="B23" s="29"/>
      <c r="C23" s="29" t="str">
        <f aca="false">IFERROR(IF(B23="","",VLOOKUP(B23,PORTFOLIO!$A:$C,3,0)),"Loan ID not found")</f>
        <v/>
      </c>
      <c r="D23" s="33"/>
      <c r="E23" s="30"/>
      <c r="F23" s="29"/>
      <c r="G23" s="29"/>
      <c r="H23" s="30"/>
      <c r="I23" s="30" t="str">
        <f aca="false">IF(E23="","",E23-IF(H23="",0,H23))</f>
        <v/>
      </c>
      <c r="J23" s="29"/>
    </row>
    <row r="24" customFormat="false" ht="15" hidden="false" customHeight="false" outlineLevel="0" collapsed="false">
      <c r="A24" s="29"/>
      <c r="B24" s="29"/>
      <c r="C24" s="29" t="str">
        <f aca="false">IFERROR(IF(B24="","",VLOOKUP(B24,PORTFOLIO!$A:$C,3,0)),"Loan ID not found")</f>
        <v/>
      </c>
      <c r="D24" s="33"/>
      <c r="E24" s="30"/>
      <c r="F24" s="29"/>
      <c r="G24" s="29"/>
      <c r="H24" s="30"/>
      <c r="I24" s="30" t="str">
        <f aca="false">IF(E24="","",E24-IF(H24="",0,H24))</f>
        <v/>
      </c>
      <c r="J24" s="29"/>
    </row>
    <row r="25" customFormat="false" ht="15" hidden="false" customHeight="false" outlineLevel="0" collapsed="false">
      <c r="A25" s="29"/>
      <c r="B25" s="29"/>
      <c r="C25" s="29" t="str">
        <f aca="false">IFERROR(IF(B25="","",VLOOKUP(B25,PORTFOLIO!$A:$C,3,0)),"Loan ID not found")</f>
        <v/>
      </c>
      <c r="D25" s="33"/>
      <c r="E25" s="30"/>
      <c r="F25" s="29"/>
      <c r="G25" s="29"/>
      <c r="H25" s="30"/>
      <c r="I25" s="30" t="str">
        <f aca="false">IF(E25="","",E25-IF(H25="",0,H25))</f>
        <v/>
      </c>
      <c r="J25" s="29"/>
    </row>
  </sheetData>
  <mergeCells count="3">
    <mergeCell ref="A1:J1"/>
    <mergeCell ref="A2:J2"/>
    <mergeCell ref="A3:J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9" topLeftCell="A2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18"/>
    <col collapsed="false" customWidth="true" hidden="false" outlineLevel="0" max="5" min="4" style="0" width="14"/>
    <col collapsed="false" customWidth="true" hidden="false" outlineLevel="0" max="6" min="6" style="0" width="15"/>
    <col collapsed="false" customWidth="true" hidden="false" outlineLevel="0" max="7" min="7" style="0" width="18"/>
  </cols>
  <sheetData>
    <row r="1" customFormat="false" ht="16.15" hidden="false" customHeight="false" outlineLevel="0" collapsed="false">
      <c r="A1" s="9" t="s">
        <v>303</v>
      </c>
      <c r="B1" s="9"/>
      <c r="C1" s="9"/>
      <c r="D1" s="9"/>
      <c r="E1" s="9"/>
      <c r="F1" s="9"/>
      <c r="G1" s="9"/>
    </row>
    <row r="2" customFormat="false" ht="15" hidden="false" customHeight="false" outlineLevel="0" collapsed="false">
      <c r="A2" s="10" t="s">
        <v>304</v>
      </c>
      <c r="B2" s="10"/>
      <c r="C2" s="10"/>
      <c r="D2" s="10"/>
      <c r="E2" s="10"/>
      <c r="F2" s="10"/>
      <c r="G2" s="10"/>
    </row>
    <row r="3" customFormat="false" ht="39.75" hidden="false" customHeight="true" outlineLevel="0" collapsed="false">
      <c r="A3" s="17" t="s">
        <v>305</v>
      </c>
      <c r="B3" s="17"/>
      <c r="C3" s="17"/>
      <c r="D3" s="17"/>
      <c r="E3" s="17"/>
      <c r="F3" s="17"/>
      <c r="G3" s="17"/>
    </row>
    <row r="5" customFormat="false" ht="15" hidden="false" customHeight="false" outlineLevel="0" collapsed="false">
      <c r="A5" s="18" t="s">
        <v>306</v>
      </c>
      <c r="B5" s="47" t="s">
        <v>211</v>
      </c>
    </row>
    <row r="7" customFormat="false" ht="15" hidden="false" customHeight="false" outlineLevel="0" collapsed="false">
      <c r="A7" s="48" t="s">
        <v>307</v>
      </c>
      <c r="B7" s="20" t="str">
        <f aca="false">IFERROR(VLOOKUP($B$5,PORTFOLIO!$A:$C,3,0),"Loan ID not found")</f>
        <v>Example Borrower</v>
      </c>
    </row>
    <row r="8" customFormat="false" ht="15" hidden="false" customHeight="false" outlineLevel="0" collapsed="false">
      <c r="A8" s="48" t="s">
        <v>93</v>
      </c>
      <c r="B8" s="20" t="str">
        <f aca="false">IFERROR(VLOOKUP($B$5,PORTFOLIO!$A:$D,4,0),"Loan ID not found")</f>
        <v>Kampala (Head Office)</v>
      </c>
    </row>
    <row r="9" customFormat="false" ht="15" hidden="false" customHeight="false" outlineLevel="0" collapsed="false">
      <c r="A9" s="48" t="s">
        <v>223</v>
      </c>
      <c r="B9" s="20" t="str">
        <f aca="false">IFERROR(VLOOKUP($B$5,PORTFOLIO!$A:$E,5,0),"Loan ID not found")</f>
        <v>Example Loan Officer</v>
      </c>
    </row>
    <row r="10" customFormat="false" ht="15" hidden="false" customHeight="false" outlineLevel="0" collapsed="false">
      <c r="A10" s="48" t="s">
        <v>230</v>
      </c>
      <c r="B10" s="20" t="str">
        <f aca="false">IFERROR(VLOOKUP($B$5,PORTFOLIO!$A:$F,6,0),"Loan ID not found")</f>
        <v>Business Growth Loan</v>
      </c>
    </row>
    <row r="11" customFormat="false" ht="15" hidden="false" customHeight="false" outlineLevel="0" collapsed="false">
      <c r="A11" s="48" t="s">
        <v>94</v>
      </c>
      <c r="B11" s="20" t="str">
        <f aca="false">IFERROR(VLOOKUP($B$5,PORTFOLIO!$A:$I,9,0),"Loan ID not found")</f>
        <v>Reducing Balance</v>
      </c>
    </row>
    <row r="12" customFormat="false" ht="15" hidden="false" customHeight="false" outlineLevel="0" collapsed="false">
      <c r="A12" s="48" t="s">
        <v>149</v>
      </c>
      <c r="B12" s="49" t="n">
        <f aca="false">IFERROR(VLOOKUP($B$5,PORTFOLIO!$A:$J,10,0),"Loan ID not found")</f>
        <v>24</v>
      </c>
    </row>
    <row r="13" customFormat="false" ht="15" hidden="false" customHeight="false" outlineLevel="0" collapsed="false">
      <c r="A13" s="48" t="s">
        <v>308</v>
      </c>
      <c r="B13" s="21" t="n">
        <f aca="false">IFERROR(VLOOKUP($B$5,PORTFOLIO!$A:$K,11,0),"Loan ID not found")</f>
        <v>5000000</v>
      </c>
    </row>
    <row r="14" customFormat="false" ht="15" hidden="false" customHeight="false" outlineLevel="0" collapsed="false">
      <c r="A14" s="48" t="s">
        <v>247</v>
      </c>
      <c r="B14" s="50" t="n">
        <f aca="false">IFERROR(VLOOKUP($B$5,PORTFOLIO!$A:$L,12,0),"Loan ID not found")</f>
        <v>12</v>
      </c>
    </row>
    <row r="15" customFormat="false" ht="15" hidden="false" customHeight="false" outlineLevel="0" collapsed="false">
      <c r="A15" s="48" t="s">
        <v>248</v>
      </c>
      <c r="B15" s="51" t="n">
        <f aca="false">IFERROR(VLOOKUP($B$5,PORTFOLIO!$A:$N,14,0),"Loan ID not found")</f>
        <v>46037</v>
      </c>
    </row>
    <row r="16" customFormat="false" ht="15" hidden="false" customHeight="false" outlineLevel="0" collapsed="false">
      <c r="A16" s="48" t="s">
        <v>249</v>
      </c>
      <c r="B16" s="51" t="n">
        <f aca="false">IFERROR(VLOOKUP($B$5,PORTFOLIO!$A:$O,15,0),"Loan ID not found")</f>
        <v>46068</v>
      </c>
    </row>
    <row r="17" customFormat="false" ht="15" hidden="false" customHeight="false" outlineLevel="0" collapsed="false">
      <c r="A17" s="48" t="s">
        <v>251</v>
      </c>
      <c r="B17" s="21" t="n">
        <f aca="false">IFERROR(VLOOKUP($B$5,PORTFOLIO!$A:$Q,17,0),"Loan ID not found")</f>
        <v>472797.983114757</v>
      </c>
    </row>
    <row r="19" customFormat="false" ht="22.35" hidden="false" customHeight="false" outlineLevel="0" collapsed="false">
      <c r="A19" s="25" t="s">
        <v>309</v>
      </c>
      <c r="B19" s="25" t="s">
        <v>310</v>
      </c>
      <c r="C19" s="25" t="s">
        <v>311</v>
      </c>
      <c r="D19" s="25" t="s">
        <v>312</v>
      </c>
      <c r="E19" s="25" t="s">
        <v>308</v>
      </c>
      <c r="F19" s="25" t="s">
        <v>313</v>
      </c>
      <c r="G19" s="25" t="s">
        <v>314</v>
      </c>
    </row>
    <row r="20" customFormat="false" ht="15" hidden="false" customHeight="false" outlineLevel="0" collapsed="false">
      <c r="A20" s="41" t="n">
        <v>1</v>
      </c>
      <c r="B20" s="52" t="n">
        <f aca="false">IF(1&gt;B14,"",IF(B16="","",EDATE(B16,1-1)))</f>
        <v>46068</v>
      </c>
      <c r="C20" s="21" t="n">
        <f aca="false">IF(1&gt;B14,"",B13)</f>
        <v>5000000</v>
      </c>
      <c r="D20" s="21" t="n">
        <f aca="false">IF(OR(1&gt;B14,C20=""),"",IF(B11="Flat Rate",(B17*B14-B13)/B14,C20*B12/1200))</f>
        <v>100000</v>
      </c>
      <c r="E20" s="21" t="n">
        <f aca="false">IF(OR(1&gt;B14,C20=""),"",IF(1=B14,C20,IF(B11="Flat Rate",B13/B14,B17-D20)))</f>
        <v>372797.983114757</v>
      </c>
      <c r="F20" s="21" t="n">
        <f aca="false">IF(OR(1&gt;B14,C20=""),"",D20+E20)</f>
        <v>472797.983114757</v>
      </c>
      <c r="G20" s="21" t="n">
        <f aca="false">IF(OR(1&gt;B14,C20=""),"",MAX(0,C20-E20))</f>
        <v>4627202.01688524</v>
      </c>
    </row>
    <row r="21" customFormat="false" ht="15" hidden="false" customHeight="false" outlineLevel="0" collapsed="false">
      <c r="A21" s="41" t="n">
        <v>2</v>
      </c>
      <c r="B21" s="52" t="n">
        <f aca="false">IF(2&gt;B14,"",IF(B16="","",EDATE(B16,2-1)))</f>
        <v>46096</v>
      </c>
      <c r="C21" s="21" t="n">
        <f aca="false">IF(2&gt;B14,"",IF(G20="","",G20))</f>
        <v>4627202.01688524</v>
      </c>
      <c r="D21" s="21" t="n">
        <f aca="false">IF(OR(2&gt;B14,C21=""),"",IF(B11="Flat Rate",(B17*B14-B13)/B14,C21*B12/1200))</f>
        <v>92544.0403377048</v>
      </c>
      <c r="E21" s="21" t="n">
        <f aca="false">IF(OR(2&gt;B14,C21=""),"",IF(2=B14,C21,IF(B11="Flat Rate",B13/B14,B17-D21)))</f>
        <v>380253.942777053</v>
      </c>
      <c r="F21" s="21" t="n">
        <f aca="false">IF(OR(2&gt;B14,C21=""),"",D21+E21)</f>
        <v>472797.983114757</v>
      </c>
      <c r="G21" s="21" t="n">
        <f aca="false">IF(OR(2&gt;B14,C21=""),"",MAX(0,C21-E21))</f>
        <v>4246948.07410819</v>
      </c>
    </row>
    <row r="22" customFormat="false" ht="15" hidden="false" customHeight="false" outlineLevel="0" collapsed="false">
      <c r="A22" s="41" t="n">
        <v>3</v>
      </c>
      <c r="B22" s="52" t="n">
        <f aca="false">IF(3&gt;B14,"",IF(B16="","",EDATE(B16,3-1)))</f>
        <v>46127</v>
      </c>
      <c r="C22" s="21" t="n">
        <f aca="false">IF(3&gt;B14,"",IF(G21="","",G21))</f>
        <v>4246948.07410819</v>
      </c>
      <c r="D22" s="21" t="n">
        <f aca="false">IF(OR(3&gt;B14,C22=""),"",IF(B11="Flat Rate",(B17*B14-B13)/B14,C22*B12/1200))</f>
        <v>84938.9614821638</v>
      </c>
      <c r="E22" s="21" t="n">
        <f aca="false">IF(OR(3&gt;B14,C22=""),"",IF(3=B14,C22,IF(B11="Flat Rate",B13/B14,B17-D22)))</f>
        <v>387859.021632594</v>
      </c>
      <c r="F22" s="21" t="n">
        <f aca="false">IF(OR(3&gt;B14,C22=""),"",D22+E22)</f>
        <v>472797.983114757</v>
      </c>
      <c r="G22" s="21" t="n">
        <f aca="false">IF(OR(3&gt;B14,C22=""),"",MAX(0,C22-E22))</f>
        <v>3859089.0524756</v>
      </c>
    </row>
    <row r="23" customFormat="false" ht="15" hidden="false" customHeight="false" outlineLevel="0" collapsed="false">
      <c r="A23" s="41" t="n">
        <v>4</v>
      </c>
      <c r="B23" s="52" t="n">
        <f aca="false">IF(4&gt;B14,"",IF(B16="","",EDATE(B16,4-1)))</f>
        <v>46157</v>
      </c>
      <c r="C23" s="21" t="n">
        <f aca="false">IF(4&gt;B14,"",IF(G22="","",G22))</f>
        <v>3859089.0524756</v>
      </c>
      <c r="D23" s="21" t="n">
        <f aca="false">IF(OR(4&gt;B14,C23=""),"",IF(B11="Flat Rate",(B17*B14-B13)/B14,C23*B12/1200))</f>
        <v>77181.7810495119</v>
      </c>
      <c r="E23" s="21" t="n">
        <f aca="false">IF(OR(4&gt;B14,C23=""),"",IF(4=B14,C23,IF(B11="Flat Rate",B13/B14,B17-D23)))</f>
        <v>395616.202065246</v>
      </c>
      <c r="F23" s="21" t="n">
        <f aca="false">IF(OR(4&gt;B14,C23=""),"",D23+E23)</f>
        <v>472797.983114757</v>
      </c>
      <c r="G23" s="21" t="n">
        <f aca="false">IF(OR(4&gt;B14,C23=""),"",MAX(0,C23-E23))</f>
        <v>3463472.85041035</v>
      </c>
    </row>
    <row r="24" customFormat="false" ht="15" hidden="false" customHeight="false" outlineLevel="0" collapsed="false">
      <c r="A24" s="41" t="n">
        <v>5</v>
      </c>
      <c r="B24" s="52" t="n">
        <f aca="false">IF(5&gt;B14,"",IF(B16="","",EDATE(B16,5-1)))</f>
        <v>46188</v>
      </c>
      <c r="C24" s="21" t="n">
        <f aca="false">IF(5&gt;B14,"",IF(G23="","",G23))</f>
        <v>3463472.85041035</v>
      </c>
      <c r="D24" s="21" t="n">
        <f aca="false">IF(OR(5&gt;B14,C24=""),"",IF(B11="Flat Rate",(B17*B14-B13)/B14,C24*B12/1200))</f>
        <v>69269.457008207</v>
      </c>
      <c r="E24" s="21" t="n">
        <f aca="false">IF(OR(5&gt;B14,C24=""),"",IF(5=B14,C24,IF(B11="Flat Rate",B13/B14,B17-D24)))</f>
        <v>403528.52610655</v>
      </c>
      <c r="F24" s="21" t="n">
        <f aca="false">IF(OR(5&gt;B14,C24=""),"",D24+E24)</f>
        <v>472797.983114757</v>
      </c>
      <c r="G24" s="21" t="n">
        <f aca="false">IF(OR(5&gt;B14,C24=""),"",MAX(0,C24-E24))</f>
        <v>3059944.3243038</v>
      </c>
    </row>
    <row r="25" customFormat="false" ht="15" hidden="false" customHeight="false" outlineLevel="0" collapsed="false">
      <c r="A25" s="41" t="n">
        <v>6</v>
      </c>
      <c r="B25" s="52" t="n">
        <f aca="false">IF(6&gt;B14,"",IF(B16="","",EDATE(B16,6-1)))</f>
        <v>46218</v>
      </c>
      <c r="C25" s="21" t="n">
        <f aca="false">IF(6&gt;B14,"",IF(G24="","",G24))</f>
        <v>3059944.3243038</v>
      </c>
      <c r="D25" s="21" t="n">
        <f aca="false">IF(OR(6&gt;B14,C25=""),"",IF(B11="Flat Rate",(B17*B14-B13)/B14,C25*B12/1200))</f>
        <v>61198.886486076</v>
      </c>
      <c r="E25" s="21" t="n">
        <f aca="false">IF(OR(6&gt;B14,C25=""),"",IF(6=B14,C25,IF(B11="Flat Rate",B13/B14,B17-D25)))</f>
        <v>411599.096628681</v>
      </c>
      <c r="F25" s="21" t="n">
        <f aca="false">IF(OR(6&gt;B14,C25=""),"",D25+E25)</f>
        <v>472797.983114757</v>
      </c>
      <c r="G25" s="21" t="n">
        <f aca="false">IF(OR(6&gt;B14,C25=""),"",MAX(0,C25-E25))</f>
        <v>2648345.22767512</v>
      </c>
    </row>
    <row r="26" customFormat="false" ht="15" hidden="false" customHeight="false" outlineLevel="0" collapsed="false">
      <c r="A26" s="41" t="n">
        <v>7</v>
      </c>
      <c r="B26" s="52" t="n">
        <f aca="false">IF(7&gt;B14,"",IF(B16="","",EDATE(B16,7-1)))</f>
        <v>46249</v>
      </c>
      <c r="C26" s="21" t="n">
        <f aca="false">IF(7&gt;B14,"",IF(G25="","",G25))</f>
        <v>2648345.22767512</v>
      </c>
      <c r="D26" s="21" t="n">
        <f aca="false">IF(OR(7&gt;B14,C26=""),"",IF(B11="Flat Rate",(B17*B14-B13)/B14,C26*B12/1200))</f>
        <v>52966.9045535024</v>
      </c>
      <c r="E26" s="21" t="n">
        <f aca="false">IF(OR(7&gt;B14,C26=""),"",IF(7=B14,C26,IF(B11="Flat Rate",B13/B14,B17-D26)))</f>
        <v>419831.078561255</v>
      </c>
      <c r="F26" s="21" t="n">
        <f aca="false">IF(OR(7&gt;B14,C26=""),"",D26+E26)</f>
        <v>472797.983114757</v>
      </c>
      <c r="G26" s="21" t="n">
        <f aca="false">IF(OR(7&gt;B14,C26=""),"",MAX(0,C26-E26))</f>
        <v>2228514.14911386</v>
      </c>
    </row>
    <row r="27" customFormat="false" ht="15" hidden="false" customHeight="false" outlineLevel="0" collapsed="false">
      <c r="A27" s="41" t="n">
        <v>8</v>
      </c>
      <c r="B27" s="52" t="n">
        <f aca="false">IF(8&gt;B14,"",IF(B16="","",EDATE(B16,8-1)))</f>
        <v>46280</v>
      </c>
      <c r="C27" s="21" t="n">
        <f aca="false">IF(8&gt;B14,"",IF(G26="","",G26))</f>
        <v>2228514.14911386</v>
      </c>
      <c r="D27" s="21" t="n">
        <f aca="false">IF(OR(8&gt;B14,C27=""),"",IF(B11="Flat Rate",(B17*B14-B13)/B14,C27*B12/1200))</f>
        <v>44570.2829822773</v>
      </c>
      <c r="E27" s="21" t="n">
        <f aca="false">IF(OR(8&gt;B14,C27=""),"",IF(8=B14,C27,IF(B11="Flat Rate",B13/B14,B17-D27)))</f>
        <v>428227.70013248</v>
      </c>
      <c r="F27" s="21" t="n">
        <f aca="false">IF(OR(8&gt;B14,C27=""),"",D27+E27)</f>
        <v>472797.983114757</v>
      </c>
      <c r="G27" s="21" t="n">
        <f aca="false">IF(OR(8&gt;B14,C27=""),"",MAX(0,C27-E27))</f>
        <v>1800286.44898138</v>
      </c>
    </row>
    <row r="28" customFormat="false" ht="15" hidden="false" customHeight="false" outlineLevel="0" collapsed="false">
      <c r="A28" s="41" t="n">
        <v>9</v>
      </c>
      <c r="B28" s="52" t="n">
        <f aca="false">IF(9&gt;B14,"",IF(B16="","",EDATE(B16,9-1)))</f>
        <v>46310</v>
      </c>
      <c r="C28" s="21" t="n">
        <f aca="false">IF(9&gt;B14,"",IF(G27="","",G27))</f>
        <v>1800286.44898138</v>
      </c>
      <c r="D28" s="21" t="n">
        <f aca="false">IF(OR(9&gt;B14,C28=""),"",IF(B11="Flat Rate",(B17*B14-B13)/B14,C28*B12/1200))</f>
        <v>36005.7289796277</v>
      </c>
      <c r="E28" s="21" t="n">
        <f aca="false">IF(OR(9&gt;B14,C28=""),"",IF(9=B14,C28,IF(B11="Flat Rate",B13/B14,B17-D28)))</f>
        <v>436792.25413513</v>
      </c>
      <c r="F28" s="21" t="n">
        <f aca="false">IF(OR(9&gt;B14,C28=""),"",D28+E28)</f>
        <v>472797.983114757</v>
      </c>
      <c r="G28" s="21" t="n">
        <f aca="false">IF(OR(9&gt;B14,C28=""),"",MAX(0,C28-E28))</f>
        <v>1363494.19484625</v>
      </c>
    </row>
    <row r="29" customFormat="false" ht="15" hidden="false" customHeight="false" outlineLevel="0" collapsed="false">
      <c r="A29" s="41" t="n">
        <v>10</v>
      </c>
      <c r="B29" s="52" t="n">
        <f aca="false">IF(10&gt;B14,"",IF(B16="","",EDATE(B16,10-1)))</f>
        <v>46341</v>
      </c>
      <c r="C29" s="21" t="n">
        <f aca="false">IF(10&gt;B14,"",IF(G28="","",G28))</f>
        <v>1363494.19484625</v>
      </c>
      <c r="D29" s="21" t="n">
        <f aca="false">IF(OR(10&gt;B14,C29=""),"",IF(B11="Flat Rate",(B17*B14-B13)/B14,C29*B12/1200))</f>
        <v>27269.8838969251</v>
      </c>
      <c r="E29" s="21" t="n">
        <f aca="false">IF(OR(10&gt;B14,C29=""),"",IF(10=B14,C29,IF(B11="Flat Rate",B13/B14,B17-D29)))</f>
        <v>445528.099217832</v>
      </c>
      <c r="F29" s="21" t="n">
        <f aca="false">IF(OR(10&gt;B14,C29=""),"",D29+E29)</f>
        <v>472797.983114757</v>
      </c>
      <c r="G29" s="21" t="n">
        <f aca="false">IF(OR(10&gt;B14,C29=""),"",MAX(0,C29-E29))</f>
        <v>917966.095628422</v>
      </c>
    </row>
    <row r="30" customFormat="false" ht="15" hidden="false" customHeight="false" outlineLevel="0" collapsed="false">
      <c r="A30" s="41" t="n">
        <v>11</v>
      </c>
      <c r="B30" s="52" t="n">
        <f aca="false">IF(11&gt;B14,"",IF(B16="","",EDATE(B16,11-1)))</f>
        <v>46371</v>
      </c>
      <c r="C30" s="21" t="n">
        <f aca="false">IF(11&gt;B14,"",IF(G29="","",G29))</f>
        <v>917966.095628422</v>
      </c>
      <c r="D30" s="21" t="n">
        <f aca="false">IF(OR(11&gt;B14,C30=""),"",IF(B11="Flat Rate",(B17*B14-B13)/B14,C30*B12/1200))</f>
        <v>18359.3219125684</v>
      </c>
      <c r="E30" s="21" t="n">
        <f aca="false">IF(OR(11&gt;B14,C30=""),"",IF(11=B14,C30,IF(B11="Flat Rate",B13/B14,B17-D30)))</f>
        <v>454438.661202189</v>
      </c>
      <c r="F30" s="21" t="n">
        <f aca="false">IF(OR(11&gt;B14,C30=""),"",D30+E30)</f>
        <v>472797.983114757</v>
      </c>
      <c r="G30" s="21" t="n">
        <f aca="false">IF(OR(11&gt;B14,C30=""),"",MAX(0,C30-E30))</f>
        <v>463527.434426233</v>
      </c>
    </row>
    <row r="31" customFormat="false" ht="15" hidden="false" customHeight="false" outlineLevel="0" collapsed="false">
      <c r="A31" s="41" t="n">
        <v>12</v>
      </c>
      <c r="B31" s="52" t="n">
        <f aca="false">IF(12&gt;B14,"",IF(B16="","",EDATE(B16,12-1)))</f>
        <v>46402</v>
      </c>
      <c r="C31" s="21" t="n">
        <f aca="false">IF(12&gt;B14,"",IF(G30="","",G30))</f>
        <v>463527.434426233</v>
      </c>
      <c r="D31" s="21" t="n">
        <f aca="false">IF(OR(12&gt;B14,C31=""),"",IF(B11="Flat Rate",(B17*B14-B13)/B14,C31*B12/1200))</f>
        <v>9270.54868852465</v>
      </c>
      <c r="E31" s="21" t="n">
        <f aca="false">IF(OR(12&gt;B14,C31=""),"",IF(12=B14,C31,IF(B11="Flat Rate",B13/B14,B17-D31)))</f>
        <v>463527.434426233</v>
      </c>
      <c r="F31" s="21" t="n">
        <f aca="false">IF(OR(12&gt;B14,C31=""),"",D31+E31)</f>
        <v>472797.983114757</v>
      </c>
      <c r="G31" s="21" t="n">
        <f aca="false">IF(OR(12&gt;B14,C31=""),"",MAX(0,C31-E31))</f>
        <v>0</v>
      </c>
    </row>
    <row r="32" customFormat="false" ht="15" hidden="false" customHeight="false" outlineLevel="0" collapsed="false">
      <c r="A32" s="41" t="n">
        <v>13</v>
      </c>
      <c r="B32" s="52" t="str">
        <f aca="false">IF(13&gt;B14,"",IF(B16="","",EDATE(B16,13-1)))</f>
        <v/>
      </c>
      <c r="C32" s="21" t="str">
        <f aca="false">IF(13&gt;B14,"",IF(G31="","",G31))</f>
        <v/>
      </c>
      <c r="D32" s="21" t="str">
        <f aca="false">IF(OR(13&gt;B14,C32=""),"",IF(B11="Flat Rate",(B17*B14-B13)/B14,C32*B12/1200))</f>
        <v/>
      </c>
      <c r="E32" s="21" t="str">
        <f aca="false">IF(OR(13&gt;B14,C32=""),"",IF(13=B14,C32,IF(B11="Flat Rate",B13/B14,B17-D32)))</f>
        <v/>
      </c>
      <c r="F32" s="21" t="str">
        <f aca="false">IF(OR(13&gt;B14,C32=""),"",D32+E32)</f>
        <v/>
      </c>
      <c r="G32" s="21" t="str">
        <f aca="false">IF(OR(13&gt;B14,C32=""),"",MAX(0,C32-E32))</f>
        <v/>
      </c>
    </row>
    <row r="33" customFormat="false" ht="15" hidden="false" customHeight="false" outlineLevel="0" collapsed="false">
      <c r="A33" s="41" t="n">
        <v>14</v>
      </c>
      <c r="B33" s="52" t="str">
        <f aca="false">IF(14&gt;B14,"",IF(B16="","",EDATE(B16,14-1)))</f>
        <v/>
      </c>
      <c r="C33" s="21" t="str">
        <f aca="false">IF(14&gt;B14,"",IF(G32="","",G32))</f>
        <v/>
      </c>
      <c r="D33" s="21" t="str">
        <f aca="false">IF(OR(14&gt;B14,C33=""),"",IF(B11="Flat Rate",(B17*B14-B13)/B14,C33*B12/1200))</f>
        <v/>
      </c>
      <c r="E33" s="21" t="str">
        <f aca="false">IF(OR(14&gt;B14,C33=""),"",IF(14=B14,C33,IF(B11="Flat Rate",B13/B14,B17-D33)))</f>
        <v/>
      </c>
      <c r="F33" s="21" t="str">
        <f aca="false">IF(OR(14&gt;B14,C33=""),"",D33+E33)</f>
        <v/>
      </c>
      <c r="G33" s="21" t="str">
        <f aca="false">IF(OR(14&gt;B14,C33=""),"",MAX(0,C33-E33))</f>
        <v/>
      </c>
    </row>
    <row r="34" customFormat="false" ht="15" hidden="false" customHeight="false" outlineLevel="0" collapsed="false">
      <c r="A34" s="41" t="n">
        <v>15</v>
      </c>
      <c r="B34" s="52" t="str">
        <f aca="false">IF(15&gt;B14,"",IF(B16="","",EDATE(B16,15-1)))</f>
        <v/>
      </c>
      <c r="C34" s="21" t="str">
        <f aca="false">IF(15&gt;B14,"",IF(G33="","",G33))</f>
        <v/>
      </c>
      <c r="D34" s="21" t="str">
        <f aca="false">IF(OR(15&gt;B14,C34=""),"",IF(B11="Flat Rate",(B17*B14-B13)/B14,C34*B12/1200))</f>
        <v/>
      </c>
      <c r="E34" s="21" t="str">
        <f aca="false">IF(OR(15&gt;B14,C34=""),"",IF(15=B14,C34,IF(B11="Flat Rate",B13/B14,B17-D34)))</f>
        <v/>
      </c>
      <c r="F34" s="21" t="str">
        <f aca="false">IF(OR(15&gt;B14,C34=""),"",D34+E34)</f>
        <v/>
      </c>
      <c r="G34" s="21" t="str">
        <f aca="false">IF(OR(15&gt;B14,C34=""),"",MAX(0,C34-E34))</f>
        <v/>
      </c>
    </row>
    <row r="35" customFormat="false" ht="15" hidden="false" customHeight="false" outlineLevel="0" collapsed="false">
      <c r="A35" s="41" t="n">
        <v>16</v>
      </c>
      <c r="B35" s="52" t="str">
        <f aca="false">IF(16&gt;B14,"",IF(B16="","",EDATE(B16,16-1)))</f>
        <v/>
      </c>
      <c r="C35" s="21" t="str">
        <f aca="false">IF(16&gt;B14,"",IF(G34="","",G34))</f>
        <v/>
      </c>
      <c r="D35" s="21" t="str">
        <f aca="false">IF(OR(16&gt;B14,C35=""),"",IF(B11="Flat Rate",(B17*B14-B13)/B14,C35*B12/1200))</f>
        <v/>
      </c>
      <c r="E35" s="21" t="str">
        <f aca="false">IF(OR(16&gt;B14,C35=""),"",IF(16=B14,C35,IF(B11="Flat Rate",B13/B14,B17-D35)))</f>
        <v/>
      </c>
      <c r="F35" s="21" t="str">
        <f aca="false">IF(OR(16&gt;B14,C35=""),"",D35+E35)</f>
        <v/>
      </c>
      <c r="G35" s="21" t="str">
        <f aca="false">IF(OR(16&gt;B14,C35=""),"",MAX(0,C35-E35))</f>
        <v/>
      </c>
    </row>
    <row r="36" customFormat="false" ht="15" hidden="false" customHeight="false" outlineLevel="0" collapsed="false">
      <c r="A36" s="41" t="n">
        <v>17</v>
      </c>
      <c r="B36" s="52" t="str">
        <f aca="false">IF(17&gt;B14,"",IF(B16="","",EDATE(B16,17-1)))</f>
        <v/>
      </c>
      <c r="C36" s="21" t="str">
        <f aca="false">IF(17&gt;B14,"",IF(G35="","",G35))</f>
        <v/>
      </c>
      <c r="D36" s="21" t="str">
        <f aca="false">IF(OR(17&gt;B14,C36=""),"",IF(B11="Flat Rate",(B17*B14-B13)/B14,C36*B12/1200))</f>
        <v/>
      </c>
      <c r="E36" s="21" t="str">
        <f aca="false">IF(OR(17&gt;B14,C36=""),"",IF(17=B14,C36,IF(B11="Flat Rate",B13/B14,B17-D36)))</f>
        <v/>
      </c>
      <c r="F36" s="21" t="str">
        <f aca="false">IF(OR(17&gt;B14,C36=""),"",D36+E36)</f>
        <v/>
      </c>
      <c r="G36" s="21" t="str">
        <f aca="false">IF(OR(17&gt;B14,C36=""),"",MAX(0,C36-E36))</f>
        <v/>
      </c>
    </row>
    <row r="37" customFormat="false" ht="15" hidden="false" customHeight="false" outlineLevel="0" collapsed="false">
      <c r="A37" s="41" t="n">
        <v>18</v>
      </c>
      <c r="B37" s="52" t="str">
        <f aca="false">IF(18&gt;B14,"",IF(B16="","",EDATE(B16,18-1)))</f>
        <v/>
      </c>
      <c r="C37" s="21" t="str">
        <f aca="false">IF(18&gt;B14,"",IF(G36="","",G36))</f>
        <v/>
      </c>
      <c r="D37" s="21" t="str">
        <f aca="false">IF(OR(18&gt;B14,C37=""),"",IF(B11="Flat Rate",(B17*B14-B13)/B14,C37*B12/1200))</f>
        <v/>
      </c>
      <c r="E37" s="21" t="str">
        <f aca="false">IF(OR(18&gt;B14,C37=""),"",IF(18=B14,C37,IF(B11="Flat Rate",B13/B14,B17-D37)))</f>
        <v/>
      </c>
      <c r="F37" s="21" t="str">
        <f aca="false">IF(OR(18&gt;B14,C37=""),"",D37+E37)</f>
        <v/>
      </c>
      <c r="G37" s="21" t="str">
        <f aca="false">IF(OR(18&gt;B14,C37=""),"",MAX(0,C37-E37))</f>
        <v/>
      </c>
    </row>
    <row r="38" customFormat="false" ht="15" hidden="false" customHeight="false" outlineLevel="0" collapsed="false">
      <c r="A38" s="41" t="n">
        <v>19</v>
      </c>
      <c r="B38" s="52" t="str">
        <f aca="false">IF(19&gt;B14,"",IF(B16="","",EDATE(B16,19-1)))</f>
        <v/>
      </c>
      <c r="C38" s="21" t="str">
        <f aca="false">IF(19&gt;B14,"",IF(G37="","",G37))</f>
        <v/>
      </c>
      <c r="D38" s="21" t="str">
        <f aca="false">IF(OR(19&gt;B14,C38=""),"",IF(B11="Flat Rate",(B17*B14-B13)/B14,C38*B12/1200))</f>
        <v/>
      </c>
      <c r="E38" s="21" t="str">
        <f aca="false">IF(OR(19&gt;B14,C38=""),"",IF(19=B14,C38,IF(B11="Flat Rate",B13/B14,B17-D38)))</f>
        <v/>
      </c>
      <c r="F38" s="21" t="str">
        <f aca="false">IF(OR(19&gt;B14,C38=""),"",D38+E38)</f>
        <v/>
      </c>
      <c r="G38" s="21" t="str">
        <f aca="false">IF(OR(19&gt;B14,C38=""),"",MAX(0,C38-E38))</f>
        <v/>
      </c>
    </row>
    <row r="39" customFormat="false" ht="15" hidden="false" customHeight="false" outlineLevel="0" collapsed="false">
      <c r="A39" s="41" t="n">
        <v>20</v>
      </c>
      <c r="B39" s="52" t="str">
        <f aca="false">IF(20&gt;B14,"",IF(B16="","",EDATE(B16,20-1)))</f>
        <v/>
      </c>
      <c r="C39" s="21" t="str">
        <f aca="false">IF(20&gt;B14,"",IF(G38="","",G38))</f>
        <v/>
      </c>
      <c r="D39" s="21" t="str">
        <f aca="false">IF(OR(20&gt;B14,C39=""),"",IF(B11="Flat Rate",(B17*B14-B13)/B14,C39*B12/1200))</f>
        <v/>
      </c>
      <c r="E39" s="21" t="str">
        <f aca="false">IF(OR(20&gt;B14,C39=""),"",IF(20=B14,C39,IF(B11="Flat Rate",B13/B14,B17-D39)))</f>
        <v/>
      </c>
      <c r="F39" s="21" t="str">
        <f aca="false">IF(OR(20&gt;B14,C39=""),"",D39+E39)</f>
        <v/>
      </c>
      <c r="G39" s="21" t="str">
        <f aca="false">IF(OR(20&gt;B14,C39=""),"",MAX(0,C39-E39))</f>
        <v/>
      </c>
    </row>
    <row r="40" customFormat="false" ht="15" hidden="false" customHeight="false" outlineLevel="0" collapsed="false">
      <c r="A40" s="41" t="n">
        <v>21</v>
      </c>
      <c r="B40" s="52" t="str">
        <f aca="false">IF(21&gt;B14,"",IF(B16="","",EDATE(B16,21-1)))</f>
        <v/>
      </c>
      <c r="C40" s="21" t="str">
        <f aca="false">IF(21&gt;B14,"",IF(G39="","",G39))</f>
        <v/>
      </c>
      <c r="D40" s="21" t="str">
        <f aca="false">IF(OR(21&gt;B14,C40=""),"",IF(B11="Flat Rate",(B17*B14-B13)/B14,C40*B12/1200))</f>
        <v/>
      </c>
      <c r="E40" s="21" t="str">
        <f aca="false">IF(OR(21&gt;B14,C40=""),"",IF(21=B14,C40,IF(B11="Flat Rate",B13/B14,B17-D40)))</f>
        <v/>
      </c>
      <c r="F40" s="21" t="str">
        <f aca="false">IF(OR(21&gt;B14,C40=""),"",D40+E40)</f>
        <v/>
      </c>
      <c r="G40" s="21" t="str">
        <f aca="false">IF(OR(21&gt;B14,C40=""),"",MAX(0,C40-E40))</f>
        <v/>
      </c>
    </row>
    <row r="41" customFormat="false" ht="15" hidden="false" customHeight="false" outlineLevel="0" collapsed="false">
      <c r="A41" s="41" t="n">
        <v>22</v>
      </c>
      <c r="B41" s="52" t="str">
        <f aca="false">IF(22&gt;B14,"",IF(B16="","",EDATE(B16,22-1)))</f>
        <v/>
      </c>
      <c r="C41" s="21" t="str">
        <f aca="false">IF(22&gt;B14,"",IF(G40="","",G40))</f>
        <v/>
      </c>
      <c r="D41" s="21" t="str">
        <f aca="false">IF(OR(22&gt;B14,C41=""),"",IF(B11="Flat Rate",(B17*B14-B13)/B14,C41*B12/1200))</f>
        <v/>
      </c>
      <c r="E41" s="21" t="str">
        <f aca="false">IF(OR(22&gt;B14,C41=""),"",IF(22=B14,C41,IF(B11="Flat Rate",B13/B14,B17-D41)))</f>
        <v/>
      </c>
      <c r="F41" s="21" t="str">
        <f aca="false">IF(OR(22&gt;B14,C41=""),"",D41+E41)</f>
        <v/>
      </c>
      <c r="G41" s="21" t="str">
        <f aca="false">IF(OR(22&gt;B14,C41=""),"",MAX(0,C41-E41))</f>
        <v/>
      </c>
    </row>
    <row r="42" customFormat="false" ht="15" hidden="false" customHeight="false" outlineLevel="0" collapsed="false">
      <c r="A42" s="41" t="n">
        <v>23</v>
      </c>
      <c r="B42" s="52" t="str">
        <f aca="false">IF(23&gt;B14,"",IF(B16="","",EDATE(B16,23-1)))</f>
        <v/>
      </c>
      <c r="C42" s="21" t="str">
        <f aca="false">IF(23&gt;B14,"",IF(G41="","",G41))</f>
        <v/>
      </c>
      <c r="D42" s="21" t="str">
        <f aca="false">IF(OR(23&gt;B14,C42=""),"",IF(B11="Flat Rate",(B17*B14-B13)/B14,C42*B12/1200))</f>
        <v/>
      </c>
      <c r="E42" s="21" t="str">
        <f aca="false">IF(OR(23&gt;B14,C42=""),"",IF(23=B14,C42,IF(B11="Flat Rate",B13/B14,B17-D42)))</f>
        <v/>
      </c>
      <c r="F42" s="21" t="str">
        <f aca="false">IF(OR(23&gt;B14,C42=""),"",D42+E42)</f>
        <v/>
      </c>
      <c r="G42" s="21" t="str">
        <f aca="false">IF(OR(23&gt;B14,C42=""),"",MAX(0,C42-E42))</f>
        <v/>
      </c>
    </row>
    <row r="43" customFormat="false" ht="15" hidden="false" customHeight="false" outlineLevel="0" collapsed="false">
      <c r="A43" s="41" t="n">
        <v>24</v>
      </c>
      <c r="B43" s="52" t="str">
        <f aca="false">IF(24&gt;B14,"",IF(B16="","",EDATE(B16,24-1)))</f>
        <v/>
      </c>
      <c r="C43" s="21" t="str">
        <f aca="false">IF(24&gt;B14,"",IF(G42="","",G42))</f>
        <v/>
      </c>
      <c r="D43" s="21" t="str">
        <f aca="false">IF(OR(24&gt;B14,C43=""),"",IF(B11="Flat Rate",(B17*B14-B13)/B14,C43*B12/1200))</f>
        <v/>
      </c>
      <c r="E43" s="21" t="str">
        <f aca="false">IF(OR(24&gt;B14,C43=""),"",IF(24=B14,C43,IF(B11="Flat Rate",B13/B14,B17-D43)))</f>
        <v/>
      </c>
      <c r="F43" s="21" t="str">
        <f aca="false">IF(OR(24&gt;B14,C43=""),"",D43+E43)</f>
        <v/>
      </c>
      <c r="G43" s="21" t="str">
        <f aca="false">IF(OR(24&gt;B14,C43=""),"",MAX(0,C43-E43))</f>
        <v/>
      </c>
    </row>
    <row r="44" customFormat="false" ht="15" hidden="false" customHeight="false" outlineLevel="0" collapsed="false">
      <c r="A44" s="41" t="n">
        <v>25</v>
      </c>
      <c r="B44" s="52" t="str">
        <f aca="false">IF(25&gt;B14,"",IF(B16="","",EDATE(B16,25-1)))</f>
        <v/>
      </c>
      <c r="C44" s="21" t="str">
        <f aca="false">IF(25&gt;B14,"",IF(G43="","",G43))</f>
        <v/>
      </c>
      <c r="D44" s="21" t="str">
        <f aca="false">IF(OR(25&gt;B14,C44=""),"",IF(B11="Flat Rate",(B17*B14-B13)/B14,C44*B12/1200))</f>
        <v/>
      </c>
      <c r="E44" s="21" t="str">
        <f aca="false">IF(OR(25&gt;B14,C44=""),"",IF(25=B14,C44,IF(B11="Flat Rate",B13/B14,B17-D44)))</f>
        <v/>
      </c>
      <c r="F44" s="21" t="str">
        <f aca="false">IF(OR(25&gt;B14,C44=""),"",D44+E44)</f>
        <v/>
      </c>
      <c r="G44" s="21" t="str">
        <f aca="false">IF(OR(25&gt;B14,C44=""),"",MAX(0,C44-E44))</f>
        <v/>
      </c>
    </row>
    <row r="45" customFormat="false" ht="15" hidden="false" customHeight="false" outlineLevel="0" collapsed="false">
      <c r="A45" s="41" t="n">
        <v>26</v>
      </c>
      <c r="B45" s="52" t="str">
        <f aca="false">IF(26&gt;B14,"",IF(B16="","",EDATE(B16,26-1)))</f>
        <v/>
      </c>
      <c r="C45" s="21" t="str">
        <f aca="false">IF(26&gt;B14,"",IF(G44="","",G44))</f>
        <v/>
      </c>
      <c r="D45" s="21" t="str">
        <f aca="false">IF(OR(26&gt;B14,C45=""),"",IF(B11="Flat Rate",(B17*B14-B13)/B14,C45*B12/1200))</f>
        <v/>
      </c>
      <c r="E45" s="21" t="str">
        <f aca="false">IF(OR(26&gt;B14,C45=""),"",IF(26=B14,C45,IF(B11="Flat Rate",B13/B14,B17-D45)))</f>
        <v/>
      </c>
      <c r="F45" s="21" t="str">
        <f aca="false">IF(OR(26&gt;B14,C45=""),"",D45+E45)</f>
        <v/>
      </c>
      <c r="G45" s="21" t="str">
        <f aca="false">IF(OR(26&gt;B14,C45=""),"",MAX(0,C45-E45))</f>
        <v/>
      </c>
    </row>
    <row r="46" customFormat="false" ht="15" hidden="false" customHeight="false" outlineLevel="0" collapsed="false">
      <c r="A46" s="41" t="n">
        <v>27</v>
      </c>
      <c r="B46" s="52" t="str">
        <f aca="false">IF(27&gt;B14,"",IF(B16="","",EDATE(B16,27-1)))</f>
        <v/>
      </c>
      <c r="C46" s="21" t="str">
        <f aca="false">IF(27&gt;B14,"",IF(G45="","",G45))</f>
        <v/>
      </c>
      <c r="D46" s="21" t="str">
        <f aca="false">IF(OR(27&gt;B14,C46=""),"",IF(B11="Flat Rate",(B17*B14-B13)/B14,C46*B12/1200))</f>
        <v/>
      </c>
      <c r="E46" s="21" t="str">
        <f aca="false">IF(OR(27&gt;B14,C46=""),"",IF(27=B14,C46,IF(B11="Flat Rate",B13/B14,B17-D46)))</f>
        <v/>
      </c>
      <c r="F46" s="21" t="str">
        <f aca="false">IF(OR(27&gt;B14,C46=""),"",D46+E46)</f>
        <v/>
      </c>
      <c r="G46" s="21" t="str">
        <f aca="false">IF(OR(27&gt;B14,C46=""),"",MAX(0,C46-E46))</f>
        <v/>
      </c>
    </row>
    <row r="47" customFormat="false" ht="15" hidden="false" customHeight="false" outlineLevel="0" collapsed="false">
      <c r="A47" s="41" t="n">
        <v>28</v>
      </c>
      <c r="B47" s="52" t="str">
        <f aca="false">IF(28&gt;B14,"",IF(B16="","",EDATE(B16,28-1)))</f>
        <v/>
      </c>
      <c r="C47" s="21" t="str">
        <f aca="false">IF(28&gt;B14,"",IF(G46="","",G46))</f>
        <v/>
      </c>
      <c r="D47" s="21" t="str">
        <f aca="false">IF(OR(28&gt;B14,C47=""),"",IF(B11="Flat Rate",(B17*B14-B13)/B14,C47*B12/1200))</f>
        <v/>
      </c>
      <c r="E47" s="21" t="str">
        <f aca="false">IF(OR(28&gt;B14,C47=""),"",IF(28=B14,C47,IF(B11="Flat Rate",B13/B14,B17-D47)))</f>
        <v/>
      </c>
      <c r="F47" s="21" t="str">
        <f aca="false">IF(OR(28&gt;B14,C47=""),"",D47+E47)</f>
        <v/>
      </c>
      <c r="G47" s="21" t="str">
        <f aca="false">IF(OR(28&gt;B14,C47=""),"",MAX(0,C47-E47))</f>
        <v/>
      </c>
    </row>
    <row r="48" customFormat="false" ht="15" hidden="false" customHeight="false" outlineLevel="0" collapsed="false">
      <c r="A48" s="41" t="n">
        <v>29</v>
      </c>
      <c r="B48" s="52" t="str">
        <f aca="false">IF(29&gt;B14,"",IF(B16="","",EDATE(B16,29-1)))</f>
        <v/>
      </c>
      <c r="C48" s="21" t="str">
        <f aca="false">IF(29&gt;B14,"",IF(G47="","",G47))</f>
        <v/>
      </c>
      <c r="D48" s="21" t="str">
        <f aca="false">IF(OR(29&gt;B14,C48=""),"",IF(B11="Flat Rate",(B17*B14-B13)/B14,C48*B12/1200))</f>
        <v/>
      </c>
      <c r="E48" s="21" t="str">
        <f aca="false">IF(OR(29&gt;B14,C48=""),"",IF(29=B14,C48,IF(B11="Flat Rate",B13/B14,B17-D48)))</f>
        <v/>
      </c>
      <c r="F48" s="21" t="str">
        <f aca="false">IF(OR(29&gt;B14,C48=""),"",D48+E48)</f>
        <v/>
      </c>
      <c r="G48" s="21" t="str">
        <f aca="false">IF(OR(29&gt;B14,C48=""),"",MAX(0,C48-E48))</f>
        <v/>
      </c>
    </row>
    <row r="49" customFormat="false" ht="15" hidden="false" customHeight="false" outlineLevel="0" collapsed="false">
      <c r="A49" s="41" t="n">
        <v>30</v>
      </c>
      <c r="B49" s="52" t="str">
        <f aca="false">IF(30&gt;B14,"",IF(B16="","",EDATE(B16,30-1)))</f>
        <v/>
      </c>
      <c r="C49" s="21" t="str">
        <f aca="false">IF(30&gt;B14,"",IF(G48="","",G48))</f>
        <v/>
      </c>
      <c r="D49" s="21" t="str">
        <f aca="false">IF(OR(30&gt;B14,C49=""),"",IF(B11="Flat Rate",(B17*B14-B13)/B14,C49*B12/1200))</f>
        <v/>
      </c>
      <c r="E49" s="21" t="str">
        <f aca="false">IF(OR(30&gt;B14,C49=""),"",IF(30=B14,C49,IF(B11="Flat Rate",B13/B14,B17-D49)))</f>
        <v/>
      </c>
      <c r="F49" s="21" t="str">
        <f aca="false">IF(OR(30&gt;B14,C49=""),"",D49+E49)</f>
        <v/>
      </c>
      <c r="G49" s="21" t="str">
        <f aca="false">IF(OR(30&gt;B14,C49=""),"",MAX(0,C49-E49))</f>
        <v/>
      </c>
    </row>
    <row r="50" customFormat="false" ht="15" hidden="false" customHeight="false" outlineLevel="0" collapsed="false">
      <c r="A50" s="41" t="n">
        <v>31</v>
      </c>
      <c r="B50" s="52" t="str">
        <f aca="false">IF(31&gt;B14,"",IF(B16="","",EDATE(B16,31-1)))</f>
        <v/>
      </c>
      <c r="C50" s="21" t="str">
        <f aca="false">IF(31&gt;B14,"",IF(G49="","",G49))</f>
        <v/>
      </c>
      <c r="D50" s="21" t="str">
        <f aca="false">IF(OR(31&gt;B14,C50=""),"",IF(B11="Flat Rate",(B17*B14-B13)/B14,C50*B12/1200))</f>
        <v/>
      </c>
      <c r="E50" s="21" t="str">
        <f aca="false">IF(OR(31&gt;B14,C50=""),"",IF(31=B14,C50,IF(B11="Flat Rate",B13/B14,B17-D50)))</f>
        <v/>
      </c>
      <c r="F50" s="21" t="str">
        <f aca="false">IF(OR(31&gt;B14,C50=""),"",D50+E50)</f>
        <v/>
      </c>
      <c r="G50" s="21" t="str">
        <f aca="false">IF(OR(31&gt;B14,C50=""),"",MAX(0,C50-E50))</f>
        <v/>
      </c>
    </row>
    <row r="51" customFormat="false" ht="15" hidden="false" customHeight="false" outlineLevel="0" collapsed="false">
      <c r="A51" s="41" t="n">
        <v>32</v>
      </c>
      <c r="B51" s="52" t="str">
        <f aca="false">IF(32&gt;B14,"",IF(B16="","",EDATE(B16,32-1)))</f>
        <v/>
      </c>
      <c r="C51" s="21" t="str">
        <f aca="false">IF(32&gt;B14,"",IF(G50="","",G50))</f>
        <v/>
      </c>
      <c r="D51" s="21" t="str">
        <f aca="false">IF(OR(32&gt;B14,C51=""),"",IF(B11="Flat Rate",(B17*B14-B13)/B14,C51*B12/1200))</f>
        <v/>
      </c>
      <c r="E51" s="21" t="str">
        <f aca="false">IF(OR(32&gt;B14,C51=""),"",IF(32=B14,C51,IF(B11="Flat Rate",B13/B14,B17-D51)))</f>
        <v/>
      </c>
      <c r="F51" s="21" t="str">
        <f aca="false">IF(OR(32&gt;B14,C51=""),"",D51+E51)</f>
        <v/>
      </c>
      <c r="G51" s="21" t="str">
        <f aca="false">IF(OR(32&gt;B14,C51=""),"",MAX(0,C51-E51))</f>
        <v/>
      </c>
    </row>
    <row r="52" customFormat="false" ht="15" hidden="false" customHeight="false" outlineLevel="0" collapsed="false">
      <c r="A52" s="41" t="n">
        <v>33</v>
      </c>
      <c r="B52" s="52" t="str">
        <f aca="false">IF(33&gt;B14,"",IF(B16="","",EDATE(B16,33-1)))</f>
        <v/>
      </c>
      <c r="C52" s="21" t="str">
        <f aca="false">IF(33&gt;B14,"",IF(G51="","",G51))</f>
        <v/>
      </c>
      <c r="D52" s="21" t="str">
        <f aca="false">IF(OR(33&gt;B14,C52=""),"",IF(B11="Flat Rate",(B17*B14-B13)/B14,C52*B12/1200))</f>
        <v/>
      </c>
      <c r="E52" s="21" t="str">
        <f aca="false">IF(OR(33&gt;B14,C52=""),"",IF(33=B14,C52,IF(B11="Flat Rate",B13/B14,B17-D52)))</f>
        <v/>
      </c>
      <c r="F52" s="21" t="str">
        <f aca="false">IF(OR(33&gt;B14,C52=""),"",D52+E52)</f>
        <v/>
      </c>
      <c r="G52" s="21" t="str">
        <f aca="false">IF(OR(33&gt;B14,C52=""),"",MAX(0,C52-E52))</f>
        <v/>
      </c>
    </row>
    <row r="53" customFormat="false" ht="15" hidden="false" customHeight="false" outlineLevel="0" collapsed="false">
      <c r="A53" s="41" t="n">
        <v>34</v>
      </c>
      <c r="B53" s="52" t="str">
        <f aca="false">IF(34&gt;B14,"",IF(B16="","",EDATE(B16,34-1)))</f>
        <v/>
      </c>
      <c r="C53" s="21" t="str">
        <f aca="false">IF(34&gt;B14,"",IF(G52="","",G52))</f>
        <v/>
      </c>
      <c r="D53" s="21" t="str">
        <f aca="false">IF(OR(34&gt;B14,C53=""),"",IF(B11="Flat Rate",(B17*B14-B13)/B14,C53*B12/1200))</f>
        <v/>
      </c>
      <c r="E53" s="21" t="str">
        <f aca="false">IF(OR(34&gt;B14,C53=""),"",IF(34=B14,C53,IF(B11="Flat Rate",B13/B14,B17-D53)))</f>
        <v/>
      </c>
      <c r="F53" s="21" t="str">
        <f aca="false">IF(OR(34&gt;B14,C53=""),"",D53+E53)</f>
        <v/>
      </c>
      <c r="G53" s="21" t="str">
        <f aca="false">IF(OR(34&gt;B14,C53=""),"",MAX(0,C53-E53))</f>
        <v/>
      </c>
    </row>
    <row r="54" customFormat="false" ht="15" hidden="false" customHeight="false" outlineLevel="0" collapsed="false">
      <c r="A54" s="41" t="n">
        <v>35</v>
      </c>
      <c r="B54" s="52" t="str">
        <f aca="false">IF(35&gt;B14,"",IF(B16="","",EDATE(B16,35-1)))</f>
        <v/>
      </c>
      <c r="C54" s="21" t="str">
        <f aca="false">IF(35&gt;B14,"",IF(G53="","",G53))</f>
        <v/>
      </c>
      <c r="D54" s="21" t="str">
        <f aca="false">IF(OR(35&gt;B14,C54=""),"",IF(B11="Flat Rate",(B17*B14-B13)/B14,C54*B12/1200))</f>
        <v/>
      </c>
      <c r="E54" s="21" t="str">
        <f aca="false">IF(OR(35&gt;B14,C54=""),"",IF(35=B14,C54,IF(B11="Flat Rate",B13/B14,B17-D54)))</f>
        <v/>
      </c>
      <c r="F54" s="21" t="str">
        <f aca="false">IF(OR(35&gt;B14,C54=""),"",D54+E54)</f>
        <v/>
      </c>
      <c r="G54" s="21" t="str">
        <f aca="false">IF(OR(35&gt;B14,C54=""),"",MAX(0,C54-E54))</f>
        <v/>
      </c>
    </row>
    <row r="55" customFormat="false" ht="15" hidden="false" customHeight="false" outlineLevel="0" collapsed="false">
      <c r="A55" s="41" t="n">
        <v>36</v>
      </c>
      <c r="B55" s="52" t="str">
        <f aca="false">IF(36&gt;B14,"",IF(B16="","",EDATE(B16,36-1)))</f>
        <v/>
      </c>
      <c r="C55" s="21" t="str">
        <f aca="false">IF(36&gt;B14,"",IF(G54="","",G54))</f>
        <v/>
      </c>
      <c r="D55" s="21" t="str">
        <f aca="false">IF(OR(36&gt;B14,C55=""),"",IF(B11="Flat Rate",(B17*B14-B13)/B14,C55*B12/1200))</f>
        <v/>
      </c>
      <c r="E55" s="21" t="str">
        <f aca="false">IF(OR(36&gt;B14,C55=""),"",IF(36=B14,C55,IF(B11="Flat Rate",B13/B14,B17-D55)))</f>
        <v/>
      </c>
      <c r="F55" s="21" t="str">
        <f aca="false">IF(OR(36&gt;B14,C55=""),"",D55+E55)</f>
        <v/>
      </c>
      <c r="G55" s="21" t="str">
        <f aca="false">IF(OR(36&gt;B14,C55=""),"",MAX(0,C55-E55))</f>
        <v/>
      </c>
    </row>
    <row r="56" customFormat="false" ht="15" hidden="false" customHeight="false" outlineLevel="0" collapsed="false">
      <c r="A56" s="41" t="n">
        <v>37</v>
      </c>
      <c r="B56" s="52" t="str">
        <f aca="false">IF(37&gt;B14,"",IF(B16="","",EDATE(B16,37-1)))</f>
        <v/>
      </c>
      <c r="C56" s="21" t="str">
        <f aca="false">IF(37&gt;B14,"",IF(G55="","",G55))</f>
        <v/>
      </c>
      <c r="D56" s="21" t="str">
        <f aca="false">IF(OR(37&gt;B14,C56=""),"",IF(B11="Flat Rate",(B17*B14-B13)/B14,C56*B12/1200))</f>
        <v/>
      </c>
      <c r="E56" s="21" t="str">
        <f aca="false">IF(OR(37&gt;B14,C56=""),"",IF(37=B14,C56,IF(B11="Flat Rate",B13/B14,B17-D56)))</f>
        <v/>
      </c>
      <c r="F56" s="21" t="str">
        <f aca="false">IF(OR(37&gt;B14,C56=""),"",D56+E56)</f>
        <v/>
      </c>
      <c r="G56" s="21" t="str">
        <f aca="false">IF(OR(37&gt;B14,C56=""),"",MAX(0,C56-E56))</f>
        <v/>
      </c>
    </row>
    <row r="57" customFormat="false" ht="15" hidden="false" customHeight="false" outlineLevel="0" collapsed="false">
      <c r="A57" s="41" t="n">
        <v>38</v>
      </c>
      <c r="B57" s="52" t="str">
        <f aca="false">IF(38&gt;B14,"",IF(B16="","",EDATE(B16,38-1)))</f>
        <v/>
      </c>
      <c r="C57" s="21" t="str">
        <f aca="false">IF(38&gt;B14,"",IF(G56="","",G56))</f>
        <v/>
      </c>
      <c r="D57" s="21" t="str">
        <f aca="false">IF(OR(38&gt;B14,C57=""),"",IF(B11="Flat Rate",(B17*B14-B13)/B14,C57*B12/1200))</f>
        <v/>
      </c>
      <c r="E57" s="21" t="str">
        <f aca="false">IF(OR(38&gt;B14,C57=""),"",IF(38=B14,C57,IF(B11="Flat Rate",B13/B14,B17-D57)))</f>
        <v/>
      </c>
      <c r="F57" s="21" t="str">
        <f aca="false">IF(OR(38&gt;B14,C57=""),"",D57+E57)</f>
        <v/>
      </c>
      <c r="G57" s="21" t="str">
        <f aca="false">IF(OR(38&gt;B14,C57=""),"",MAX(0,C57-E57))</f>
        <v/>
      </c>
    </row>
    <row r="58" customFormat="false" ht="15" hidden="false" customHeight="false" outlineLevel="0" collapsed="false">
      <c r="A58" s="41" t="n">
        <v>39</v>
      </c>
      <c r="B58" s="52" t="str">
        <f aca="false">IF(39&gt;B14,"",IF(B16="","",EDATE(B16,39-1)))</f>
        <v/>
      </c>
      <c r="C58" s="21" t="str">
        <f aca="false">IF(39&gt;B14,"",IF(G57="","",G57))</f>
        <v/>
      </c>
      <c r="D58" s="21" t="str">
        <f aca="false">IF(OR(39&gt;B14,C58=""),"",IF(B11="Flat Rate",(B17*B14-B13)/B14,C58*B12/1200))</f>
        <v/>
      </c>
      <c r="E58" s="21" t="str">
        <f aca="false">IF(OR(39&gt;B14,C58=""),"",IF(39=B14,C58,IF(B11="Flat Rate",B13/B14,B17-D58)))</f>
        <v/>
      </c>
      <c r="F58" s="21" t="str">
        <f aca="false">IF(OR(39&gt;B14,C58=""),"",D58+E58)</f>
        <v/>
      </c>
      <c r="G58" s="21" t="str">
        <f aca="false">IF(OR(39&gt;B14,C58=""),"",MAX(0,C58-E58))</f>
        <v/>
      </c>
    </row>
    <row r="59" customFormat="false" ht="15" hidden="false" customHeight="false" outlineLevel="0" collapsed="false">
      <c r="A59" s="41" t="n">
        <v>40</v>
      </c>
      <c r="B59" s="52" t="str">
        <f aca="false">IF(40&gt;B14,"",IF(B16="","",EDATE(B16,40-1)))</f>
        <v/>
      </c>
      <c r="C59" s="21" t="str">
        <f aca="false">IF(40&gt;B14,"",IF(G58="","",G58))</f>
        <v/>
      </c>
      <c r="D59" s="21" t="str">
        <f aca="false">IF(OR(40&gt;B14,C59=""),"",IF(B11="Flat Rate",(B17*B14-B13)/B14,C59*B12/1200))</f>
        <v/>
      </c>
      <c r="E59" s="21" t="str">
        <f aca="false">IF(OR(40&gt;B14,C59=""),"",IF(40=B14,C59,IF(B11="Flat Rate",B13/B14,B17-D59)))</f>
        <v/>
      </c>
      <c r="F59" s="21" t="str">
        <f aca="false">IF(OR(40&gt;B14,C59=""),"",D59+E59)</f>
        <v/>
      </c>
      <c r="G59" s="21" t="str">
        <f aca="false">IF(OR(40&gt;B14,C59=""),"",MAX(0,C59-E59))</f>
        <v/>
      </c>
    </row>
    <row r="60" customFormat="false" ht="15" hidden="false" customHeight="false" outlineLevel="0" collapsed="false">
      <c r="A60" s="41" t="n">
        <v>41</v>
      </c>
      <c r="B60" s="52" t="str">
        <f aca="false">IF(41&gt;B14,"",IF(B16="","",EDATE(B16,41-1)))</f>
        <v/>
      </c>
      <c r="C60" s="21" t="str">
        <f aca="false">IF(41&gt;B14,"",IF(G59="","",G59))</f>
        <v/>
      </c>
      <c r="D60" s="21" t="str">
        <f aca="false">IF(OR(41&gt;B14,C60=""),"",IF(B11="Flat Rate",(B17*B14-B13)/B14,C60*B12/1200))</f>
        <v/>
      </c>
      <c r="E60" s="21" t="str">
        <f aca="false">IF(OR(41&gt;B14,C60=""),"",IF(41=B14,C60,IF(B11="Flat Rate",B13/B14,B17-D60)))</f>
        <v/>
      </c>
      <c r="F60" s="21" t="str">
        <f aca="false">IF(OR(41&gt;B14,C60=""),"",D60+E60)</f>
        <v/>
      </c>
      <c r="G60" s="21" t="str">
        <f aca="false">IF(OR(41&gt;B14,C60=""),"",MAX(0,C60-E60))</f>
        <v/>
      </c>
    </row>
    <row r="61" customFormat="false" ht="15" hidden="false" customHeight="false" outlineLevel="0" collapsed="false">
      <c r="A61" s="41" t="n">
        <v>42</v>
      </c>
      <c r="B61" s="52" t="str">
        <f aca="false">IF(42&gt;B14,"",IF(B16="","",EDATE(B16,42-1)))</f>
        <v/>
      </c>
      <c r="C61" s="21" t="str">
        <f aca="false">IF(42&gt;B14,"",IF(G60="","",G60))</f>
        <v/>
      </c>
      <c r="D61" s="21" t="str">
        <f aca="false">IF(OR(42&gt;B14,C61=""),"",IF(B11="Flat Rate",(B17*B14-B13)/B14,C61*B12/1200))</f>
        <v/>
      </c>
      <c r="E61" s="21" t="str">
        <f aca="false">IF(OR(42&gt;B14,C61=""),"",IF(42=B14,C61,IF(B11="Flat Rate",B13/B14,B17-D61)))</f>
        <v/>
      </c>
      <c r="F61" s="21" t="str">
        <f aca="false">IF(OR(42&gt;B14,C61=""),"",D61+E61)</f>
        <v/>
      </c>
      <c r="G61" s="21" t="str">
        <f aca="false">IF(OR(42&gt;B14,C61=""),"",MAX(0,C61-E61))</f>
        <v/>
      </c>
    </row>
    <row r="62" customFormat="false" ht="15" hidden="false" customHeight="false" outlineLevel="0" collapsed="false">
      <c r="A62" s="41" t="n">
        <v>43</v>
      </c>
      <c r="B62" s="52" t="str">
        <f aca="false">IF(43&gt;B14,"",IF(B16="","",EDATE(B16,43-1)))</f>
        <v/>
      </c>
      <c r="C62" s="21" t="str">
        <f aca="false">IF(43&gt;B14,"",IF(G61="","",G61))</f>
        <v/>
      </c>
      <c r="D62" s="21" t="str">
        <f aca="false">IF(OR(43&gt;B14,C62=""),"",IF(B11="Flat Rate",(B17*B14-B13)/B14,C62*B12/1200))</f>
        <v/>
      </c>
      <c r="E62" s="21" t="str">
        <f aca="false">IF(OR(43&gt;B14,C62=""),"",IF(43=B14,C62,IF(B11="Flat Rate",B13/B14,B17-D62)))</f>
        <v/>
      </c>
      <c r="F62" s="21" t="str">
        <f aca="false">IF(OR(43&gt;B14,C62=""),"",D62+E62)</f>
        <v/>
      </c>
      <c r="G62" s="21" t="str">
        <f aca="false">IF(OR(43&gt;B14,C62=""),"",MAX(0,C62-E62))</f>
        <v/>
      </c>
    </row>
    <row r="63" customFormat="false" ht="15" hidden="false" customHeight="false" outlineLevel="0" collapsed="false">
      <c r="A63" s="41" t="n">
        <v>44</v>
      </c>
      <c r="B63" s="52" t="str">
        <f aca="false">IF(44&gt;B14,"",IF(B16="","",EDATE(B16,44-1)))</f>
        <v/>
      </c>
      <c r="C63" s="21" t="str">
        <f aca="false">IF(44&gt;B14,"",IF(G62="","",G62))</f>
        <v/>
      </c>
      <c r="D63" s="21" t="str">
        <f aca="false">IF(OR(44&gt;B14,C63=""),"",IF(B11="Flat Rate",(B17*B14-B13)/B14,C63*B12/1200))</f>
        <v/>
      </c>
      <c r="E63" s="21" t="str">
        <f aca="false">IF(OR(44&gt;B14,C63=""),"",IF(44=B14,C63,IF(B11="Flat Rate",B13/B14,B17-D63)))</f>
        <v/>
      </c>
      <c r="F63" s="21" t="str">
        <f aca="false">IF(OR(44&gt;B14,C63=""),"",D63+E63)</f>
        <v/>
      </c>
      <c r="G63" s="21" t="str">
        <f aca="false">IF(OR(44&gt;B14,C63=""),"",MAX(0,C63-E63))</f>
        <v/>
      </c>
    </row>
    <row r="64" customFormat="false" ht="15" hidden="false" customHeight="false" outlineLevel="0" collapsed="false">
      <c r="A64" s="41" t="n">
        <v>45</v>
      </c>
      <c r="B64" s="52" t="str">
        <f aca="false">IF(45&gt;B14,"",IF(B16="","",EDATE(B16,45-1)))</f>
        <v/>
      </c>
      <c r="C64" s="21" t="str">
        <f aca="false">IF(45&gt;B14,"",IF(G63="","",G63))</f>
        <v/>
      </c>
      <c r="D64" s="21" t="str">
        <f aca="false">IF(OR(45&gt;B14,C64=""),"",IF(B11="Flat Rate",(B17*B14-B13)/B14,C64*B12/1200))</f>
        <v/>
      </c>
      <c r="E64" s="21" t="str">
        <f aca="false">IF(OR(45&gt;B14,C64=""),"",IF(45=B14,C64,IF(B11="Flat Rate",B13/B14,B17-D64)))</f>
        <v/>
      </c>
      <c r="F64" s="21" t="str">
        <f aca="false">IF(OR(45&gt;B14,C64=""),"",D64+E64)</f>
        <v/>
      </c>
      <c r="G64" s="21" t="str">
        <f aca="false">IF(OR(45&gt;B14,C64=""),"",MAX(0,C64-E64))</f>
        <v/>
      </c>
    </row>
    <row r="65" customFormat="false" ht="15" hidden="false" customHeight="false" outlineLevel="0" collapsed="false">
      <c r="A65" s="41" t="n">
        <v>46</v>
      </c>
      <c r="B65" s="52" t="str">
        <f aca="false">IF(46&gt;B14,"",IF(B16="","",EDATE(B16,46-1)))</f>
        <v/>
      </c>
      <c r="C65" s="21" t="str">
        <f aca="false">IF(46&gt;B14,"",IF(G64="","",G64))</f>
        <v/>
      </c>
      <c r="D65" s="21" t="str">
        <f aca="false">IF(OR(46&gt;B14,C65=""),"",IF(B11="Flat Rate",(B17*B14-B13)/B14,C65*B12/1200))</f>
        <v/>
      </c>
      <c r="E65" s="21" t="str">
        <f aca="false">IF(OR(46&gt;B14,C65=""),"",IF(46=B14,C65,IF(B11="Flat Rate",B13/B14,B17-D65)))</f>
        <v/>
      </c>
      <c r="F65" s="21" t="str">
        <f aca="false">IF(OR(46&gt;B14,C65=""),"",D65+E65)</f>
        <v/>
      </c>
      <c r="G65" s="21" t="str">
        <f aca="false">IF(OR(46&gt;B14,C65=""),"",MAX(0,C65-E65))</f>
        <v/>
      </c>
    </row>
    <row r="66" customFormat="false" ht="15" hidden="false" customHeight="false" outlineLevel="0" collapsed="false">
      <c r="A66" s="41" t="n">
        <v>47</v>
      </c>
      <c r="B66" s="52" t="str">
        <f aca="false">IF(47&gt;B14,"",IF(B16="","",EDATE(B16,47-1)))</f>
        <v/>
      </c>
      <c r="C66" s="21" t="str">
        <f aca="false">IF(47&gt;B14,"",IF(G65="","",G65))</f>
        <v/>
      </c>
      <c r="D66" s="21" t="str">
        <f aca="false">IF(OR(47&gt;B14,C66=""),"",IF(B11="Flat Rate",(B17*B14-B13)/B14,C66*B12/1200))</f>
        <v/>
      </c>
      <c r="E66" s="21" t="str">
        <f aca="false">IF(OR(47&gt;B14,C66=""),"",IF(47=B14,C66,IF(B11="Flat Rate",B13/B14,B17-D66)))</f>
        <v/>
      </c>
      <c r="F66" s="21" t="str">
        <f aca="false">IF(OR(47&gt;B14,C66=""),"",D66+E66)</f>
        <v/>
      </c>
      <c r="G66" s="21" t="str">
        <f aca="false">IF(OR(47&gt;B14,C66=""),"",MAX(0,C66-E66))</f>
        <v/>
      </c>
    </row>
    <row r="67" customFormat="false" ht="15" hidden="false" customHeight="false" outlineLevel="0" collapsed="false">
      <c r="A67" s="41" t="n">
        <v>48</v>
      </c>
      <c r="B67" s="52" t="str">
        <f aca="false">IF(48&gt;B14,"",IF(B16="","",EDATE(B16,48-1)))</f>
        <v/>
      </c>
      <c r="C67" s="21" t="str">
        <f aca="false">IF(48&gt;B14,"",IF(G66="","",G66))</f>
        <v/>
      </c>
      <c r="D67" s="21" t="str">
        <f aca="false">IF(OR(48&gt;B14,C67=""),"",IF(B11="Flat Rate",(B17*B14-B13)/B14,C67*B12/1200))</f>
        <v/>
      </c>
      <c r="E67" s="21" t="str">
        <f aca="false">IF(OR(48&gt;B14,C67=""),"",IF(48=B14,C67,IF(B11="Flat Rate",B13/B14,B17-D67)))</f>
        <v/>
      </c>
      <c r="F67" s="21" t="str">
        <f aca="false">IF(OR(48&gt;B14,C67=""),"",D67+E67)</f>
        <v/>
      </c>
      <c r="G67" s="21" t="str">
        <f aca="false">IF(OR(48&gt;B14,C67=""),"",MAX(0,C67-E67))</f>
        <v/>
      </c>
    </row>
    <row r="68" customFormat="false" ht="15" hidden="false" customHeight="false" outlineLevel="0" collapsed="false">
      <c r="A68" s="41" t="n">
        <v>49</v>
      </c>
      <c r="B68" s="52" t="str">
        <f aca="false">IF(49&gt;B14,"",IF(B16="","",EDATE(B16,49-1)))</f>
        <v/>
      </c>
      <c r="C68" s="21" t="str">
        <f aca="false">IF(49&gt;B14,"",IF(G67="","",G67))</f>
        <v/>
      </c>
      <c r="D68" s="21" t="str">
        <f aca="false">IF(OR(49&gt;B14,C68=""),"",IF(B11="Flat Rate",(B17*B14-B13)/B14,C68*B12/1200))</f>
        <v/>
      </c>
      <c r="E68" s="21" t="str">
        <f aca="false">IF(OR(49&gt;B14,C68=""),"",IF(49=B14,C68,IF(B11="Flat Rate",B13/B14,B17-D68)))</f>
        <v/>
      </c>
      <c r="F68" s="21" t="str">
        <f aca="false">IF(OR(49&gt;B14,C68=""),"",D68+E68)</f>
        <v/>
      </c>
      <c r="G68" s="21" t="str">
        <f aca="false">IF(OR(49&gt;B14,C68=""),"",MAX(0,C68-E68))</f>
        <v/>
      </c>
    </row>
    <row r="69" customFormat="false" ht="15" hidden="false" customHeight="false" outlineLevel="0" collapsed="false">
      <c r="A69" s="41" t="n">
        <v>50</v>
      </c>
      <c r="B69" s="52" t="str">
        <f aca="false">IF(50&gt;B14,"",IF(B16="","",EDATE(B16,50-1)))</f>
        <v/>
      </c>
      <c r="C69" s="21" t="str">
        <f aca="false">IF(50&gt;B14,"",IF(G68="","",G68))</f>
        <v/>
      </c>
      <c r="D69" s="21" t="str">
        <f aca="false">IF(OR(50&gt;B14,C69=""),"",IF(B11="Flat Rate",(B17*B14-B13)/B14,C69*B12/1200))</f>
        <v/>
      </c>
      <c r="E69" s="21" t="str">
        <f aca="false">IF(OR(50&gt;B14,C69=""),"",IF(50=B14,C69,IF(B11="Flat Rate",B13/B14,B17-D69)))</f>
        <v/>
      </c>
      <c r="F69" s="21" t="str">
        <f aca="false">IF(OR(50&gt;B14,C69=""),"",D69+E69)</f>
        <v/>
      </c>
      <c r="G69" s="21" t="str">
        <f aca="false">IF(OR(50&gt;B14,C69=""),"",MAX(0,C69-E69))</f>
        <v/>
      </c>
    </row>
    <row r="70" customFormat="false" ht="15" hidden="false" customHeight="false" outlineLevel="0" collapsed="false">
      <c r="A70" s="41" t="n">
        <v>51</v>
      </c>
      <c r="B70" s="52" t="str">
        <f aca="false">IF(51&gt;B14,"",IF(B16="","",EDATE(B16,51-1)))</f>
        <v/>
      </c>
      <c r="C70" s="21" t="str">
        <f aca="false">IF(51&gt;B14,"",IF(G69="","",G69))</f>
        <v/>
      </c>
      <c r="D70" s="21" t="str">
        <f aca="false">IF(OR(51&gt;B14,C70=""),"",IF(B11="Flat Rate",(B17*B14-B13)/B14,C70*B12/1200))</f>
        <v/>
      </c>
      <c r="E70" s="21" t="str">
        <f aca="false">IF(OR(51&gt;B14,C70=""),"",IF(51=B14,C70,IF(B11="Flat Rate",B13/B14,B17-D70)))</f>
        <v/>
      </c>
      <c r="F70" s="21" t="str">
        <f aca="false">IF(OR(51&gt;B14,C70=""),"",D70+E70)</f>
        <v/>
      </c>
      <c r="G70" s="21" t="str">
        <f aca="false">IF(OR(51&gt;B14,C70=""),"",MAX(0,C70-E70))</f>
        <v/>
      </c>
    </row>
    <row r="71" customFormat="false" ht="15" hidden="false" customHeight="false" outlineLevel="0" collapsed="false">
      <c r="A71" s="41" t="n">
        <v>52</v>
      </c>
      <c r="B71" s="52" t="str">
        <f aca="false">IF(52&gt;B14,"",IF(B16="","",EDATE(B16,52-1)))</f>
        <v/>
      </c>
      <c r="C71" s="21" t="str">
        <f aca="false">IF(52&gt;B14,"",IF(G70="","",G70))</f>
        <v/>
      </c>
      <c r="D71" s="21" t="str">
        <f aca="false">IF(OR(52&gt;B14,C71=""),"",IF(B11="Flat Rate",(B17*B14-B13)/B14,C71*B12/1200))</f>
        <v/>
      </c>
      <c r="E71" s="21" t="str">
        <f aca="false">IF(OR(52&gt;B14,C71=""),"",IF(52=B14,C71,IF(B11="Flat Rate",B13/B14,B17-D71)))</f>
        <v/>
      </c>
      <c r="F71" s="21" t="str">
        <f aca="false">IF(OR(52&gt;B14,C71=""),"",D71+E71)</f>
        <v/>
      </c>
      <c r="G71" s="21" t="str">
        <f aca="false">IF(OR(52&gt;B14,C71=""),"",MAX(0,C71-E71))</f>
        <v/>
      </c>
    </row>
    <row r="72" customFormat="false" ht="15" hidden="false" customHeight="false" outlineLevel="0" collapsed="false">
      <c r="A72" s="41" t="n">
        <v>53</v>
      </c>
      <c r="B72" s="52" t="str">
        <f aca="false">IF(53&gt;B14,"",IF(B16="","",EDATE(B16,53-1)))</f>
        <v/>
      </c>
      <c r="C72" s="21" t="str">
        <f aca="false">IF(53&gt;B14,"",IF(G71="","",G71))</f>
        <v/>
      </c>
      <c r="D72" s="21" t="str">
        <f aca="false">IF(OR(53&gt;B14,C72=""),"",IF(B11="Flat Rate",(B17*B14-B13)/B14,C72*B12/1200))</f>
        <v/>
      </c>
      <c r="E72" s="21" t="str">
        <f aca="false">IF(OR(53&gt;B14,C72=""),"",IF(53=B14,C72,IF(B11="Flat Rate",B13/B14,B17-D72)))</f>
        <v/>
      </c>
      <c r="F72" s="21" t="str">
        <f aca="false">IF(OR(53&gt;B14,C72=""),"",D72+E72)</f>
        <v/>
      </c>
      <c r="G72" s="21" t="str">
        <f aca="false">IF(OR(53&gt;B14,C72=""),"",MAX(0,C72-E72))</f>
        <v/>
      </c>
    </row>
    <row r="73" customFormat="false" ht="15" hidden="false" customHeight="false" outlineLevel="0" collapsed="false">
      <c r="A73" s="41" t="n">
        <v>54</v>
      </c>
      <c r="B73" s="52" t="str">
        <f aca="false">IF(54&gt;B14,"",IF(B16="","",EDATE(B16,54-1)))</f>
        <v/>
      </c>
      <c r="C73" s="21" t="str">
        <f aca="false">IF(54&gt;B14,"",IF(G72="","",G72))</f>
        <v/>
      </c>
      <c r="D73" s="21" t="str">
        <f aca="false">IF(OR(54&gt;B14,C73=""),"",IF(B11="Flat Rate",(B17*B14-B13)/B14,C73*B12/1200))</f>
        <v/>
      </c>
      <c r="E73" s="21" t="str">
        <f aca="false">IF(OR(54&gt;B14,C73=""),"",IF(54=B14,C73,IF(B11="Flat Rate",B13/B14,B17-D73)))</f>
        <v/>
      </c>
      <c r="F73" s="21" t="str">
        <f aca="false">IF(OR(54&gt;B14,C73=""),"",D73+E73)</f>
        <v/>
      </c>
      <c r="G73" s="21" t="str">
        <f aca="false">IF(OR(54&gt;B14,C73=""),"",MAX(0,C73-E73))</f>
        <v/>
      </c>
    </row>
    <row r="74" customFormat="false" ht="15" hidden="false" customHeight="false" outlineLevel="0" collapsed="false">
      <c r="A74" s="41" t="n">
        <v>55</v>
      </c>
      <c r="B74" s="52" t="str">
        <f aca="false">IF(55&gt;B14,"",IF(B16="","",EDATE(B16,55-1)))</f>
        <v/>
      </c>
      <c r="C74" s="21" t="str">
        <f aca="false">IF(55&gt;B14,"",IF(G73="","",G73))</f>
        <v/>
      </c>
      <c r="D74" s="21" t="str">
        <f aca="false">IF(OR(55&gt;B14,C74=""),"",IF(B11="Flat Rate",(B17*B14-B13)/B14,C74*B12/1200))</f>
        <v/>
      </c>
      <c r="E74" s="21" t="str">
        <f aca="false">IF(OR(55&gt;B14,C74=""),"",IF(55=B14,C74,IF(B11="Flat Rate",B13/B14,B17-D74)))</f>
        <v/>
      </c>
      <c r="F74" s="21" t="str">
        <f aca="false">IF(OR(55&gt;B14,C74=""),"",D74+E74)</f>
        <v/>
      </c>
      <c r="G74" s="21" t="str">
        <f aca="false">IF(OR(55&gt;B14,C74=""),"",MAX(0,C74-E74))</f>
        <v/>
      </c>
    </row>
    <row r="75" customFormat="false" ht="15" hidden="false" customHeight="false" outlineLevel="0" collapsed="false">
      <c r="A75" s="41" t="n">
        <v>56</v>
      </c>
      <c r="B75" s="52" t="str">
        <f aca="false">IF(56&gt;B14,"",IF(B16="","",EDATE(B16,56-1)))</f>
        <v/>
      </c>
      <c r="C75" s="21" t="str">
        <f aca="false">IF(56&gt;B14,"",IF(G74="","",G74))</f>
        <v/>
      </c>
      <c r="D75" s="21" t="str">
        <f aca="false">IF(OR(56&gt;B14,C75=""),"",IF(B11="Flat Rate",(B17*B14-B13)/B14,C75*B12/1200))</f>
        <v/>
      </c>
      <c r="E75" s="21" t="str">
        <f aca="false">IF(OR(56&gt;B14,C75=""),"",IF(56=B14,C75,IF(B11="Flat Rate",B13/B14,B17-D75)))</f>
        <v/>
      </c>
      <c r="F75" s="21" t="str">
        <f aca="false">IF(OR(56&gt;B14,C75=""),"",D75+E75)</f>
        <v/>
      </c>
      <c r="G75" s="21" t="str">
        <f aca="false">IF(OR(56&gt;B14,C75=""),"",MAX(0,C75-E75))</f>
        <v/>
      </c>
    </row>
    <row r="76" customFormat="false" ht="15" hidden="false" customHeight="false" outlineLevel="0" collapsed="false">
      <c r="A76" s="41" t="n">
        <v>57</v>
      </c>
      <c r="B76" s="52" t="str">
        <f aca="false">IF(57&gt;B14,"",IF(B16="","",EDATE(B16,57-1)))</f>
        <v/>
      </c>
      <c r="C76" s="21" t="str">
        <f aca="false">IF(57&gt;B14,"",IF(G75="","",G75))</f>
        <v/>
      </c>
      <c r="D76" s="21" t="str">
        <f aca="false">IF(OR(57&gt;B14,C76=""),"",IF(B11="Flat Rate",(B17*B14-B13)/B14,C76*B12/1200))</f>
        <v/>
      </c>
      <c r="E76" s="21" t="str">
        <f aca="false">IF(OR(57&gt;B14,C76=""),"",IF(57=B14,C76,IF(B11="Flat Rate",B13/B14,B17-D76)))</f>
        <v/>
      </c>
      <c r="F76" s="21" t="str">
        <f aca="false">IF(OR(57&gt;B14,C76=""),"",D76+E76)</f>
        <v/>
      </c>
      <c r="G76" s="21" t="str">
        <f aca="false">IF(OR(57&gt;B14,C76=""),"",MAX(0,C76-E76))</f>
        <v/>
      </c>
    </row>
    <row r="77" customFormat="false" ht="15" hidden="false" customHeight="false" outlineLevel="0" collapsed="false">
      <c r="A77" s="41" t="n">
        <v>58</v>
      </c>
      <c r="B77" s="52" t="str">
        <f aca="false">IF(58&gt;B14,"",IF(B16="","",EDATE(B16,58-1)))</f>
        <v/>
      </c>
      <c r="C77" s="21" t="str">
        <f aca="false">IF(58&gt;B14,"",IF(G76="","",G76))</f>
        <v/>
      </c>
      <c r="D77" s="21" t="str">
        <f aca="false">IF(OR(58&gt;B14,C77=""),"",IF(B11="Flat Rate",(B17*B14-B13)/B14,C77*B12/1200))</f>
        <v/>
      </c>
      <c r="E77" s="21" t="str">
        <f aca="false">IF(OR(58&gt;B14,C77=""),"",IF(58=B14,C77,IF(B11="Flat Rate",B13/B14,B17-D77)))</f>
        <v/>
      </c>
      <c r="F77" s="21" t="str">
        <f aca="false">IF(OR(58&gt;B14,C77=""),"",D77+E77)</f>
        <v/>
      </c>
      <c r="G77" s="21" t="str">
        <f aca="false">IF(OR(58&gt;B14,C77=""),"",MAX(0,C77-E77))</f>
        <v/>
      </c>
    </row>
    <row r="78" customFormat="false" ht="15" hidden="false" customHeight="false" outlineLevel="0" collapsed="false">
      <c r="A78" s="41" t="n">
        <v>59</v>
      </c>
      <c r="B78" s="52" t="str">
        <f aca="false">IF(59&gt;B14,"",IF(B16="","",EDATE(B16,59-1)))</f>
        <v/>
      </c>
      <c r="C78" s="21" t="str">
        <f aca="false">IF(59&gt;B14,"",IF(G77="","",G77))</f>
        <v/>
      </c>
      <c r="D78" s="21" t="str">
        <f aca="false">IF(OR(59&gt;B14,C78=""),"",IF(B11="Flat Rate",(B17*B14-B13)/B14,C78*B12/1200))</f>
        <v/>
      </c>
      <c r="E78" s="21" t="str">
        <f aca="false">IF(OR(59&gt;B14,C78=""),"",IF(59=B14,C78,IF(B11="Flat Rate",B13/B14,B17-D78)))</f>
        <v/>
      </c>
      <c r="F78" s="21" t="str">
        <f aca="false">IF(OR(59&gt;B14,C78=""),"",D78+E78)</f>
        <v/>
      </c>
      <c r="G78" s="21" t="str">
        <f aca="false">IF(OR(59&gt;B14,C78=""),"",MAX(0,C78-E78))</f>
        <v/>
      </c>
    </row>
    <row r="79" customFormat="false" ht="15" hidden="false" customHeight="false" outlineLevel="0" collapsed="false">
      <c r="A79" s="41" t="n">
        <v>60</v>
      </c>
      <c r="B79" s="52" t="str">
        <f aca="false">IF(60&gt;B14,"",IF(B16="","",EDATE(B16,60-1)))</f>
        <v/>
      </c>
      <c r="C79" s="21" t="str">
        <f aca="false">IF(60&gt;B14,"",IF(G78="","",G78))</f>
        <v/>
      </c>
      <c r="D79" s="21" t="str">
        <f aca="false">IF(OR(60&gt;B14,C79=""),"",IF(B11="Flat Rate",(B17*B14-B13)/B14,C79*B12/1200))</f>
        <v/>
      </c>
      <c r="E79" s="21" t="str">
        <f aca="false">IF(OR(60&gt;B14,C79=""),"",IF(60=B14,C79,IF(B11="Flat Rate",B13/B14,B17-D79)))</f>
        <v/>
      </c>
      <c r="F79" s="21" t="str">
        <f aca="false">IF(OR(60&gt;B14,C79=""),"",D79+E79)</f>
        <v/>
      </c>
      <c r="G79" s="21" t="str">
        <f aca="false">IF(OR(60&gt;B14,C79=""),"",MAX(0,C79-E79))</f>
        <v/>
      </c>
    </row>
    <row r="81" customFormat="false" ht="15" hidden="false" customHeight="false" outlineLevel="0" collapsed="false">
      <c r="A81" s="53" t="s">
        <v>315</v>
      </c>
      <c r="B81" s="54" t="n">
        <f aca="false">SUM(E20:E79)</f>
        <v>5000000</v>
      </c>
      <c r="C81" s="53" t="s">
        <v>316</v>
      </c>
      <c r="D81" s="55" t="str">
        <f aca="false">IF(ROUND(B81-B13,0)=0,"OK","CHECK")</f>
        <v>OK</v>
      </c>
    </row>
    <row r="82" customFormat="false" ht="15" hidden="false" customHeight="false" outlineLevel="0" collapsed="false">
      <c r="A82" s="53" t="s">
        <v>317</v>
      </c>
      <c r="B82" s="54" t="n">
        <f aca="false">SUM(D20:D79)</f>
        <v>673575.797377089</v>
      </c>
      <c r="C82" s="53" t="s">
        <v>318</v>
      </c>
      <c r="D82" s="55" t="str">
        <f aca="false">IFERROR(IF(ROUND(B82-VLOOKUP($B$5,PORTFOLIO!$A:$R,18,0),0)=0,"OK","CHECK"),"n/a")</f>
        <v>OK</v>
      </c>
    </row>
  </sheetData>
  <mergeCells count="3">
    <mergeCell ref="A1:G1"/>
    <mergeCell ref="A2:G2"/>
    <mergeCell ref="A3:G3"/>
  </mergeCells>
  <conditionalFormatting sqref="D81:D82">
    <cfRule type="cellIs" priority="2" operator="equal" aboveAverage="0" equalAverage="0" bottom="0" percent="0" rank="0" text="" dxfId="0">
      <formula>"OK"</formula>
    </cfRule>
    <cfRule type="cellIs" priority="3" operator="equal" aboveAverage="0" equalAverage="0" bottom="0" percent="0" rank="0" text="" dxfId="1">
      <formula>"CHECK"</formula>
    </cfRule>
  </conditionalFormatting>
  <dataValidations count="1">
    <dataValidation allowBlank="true" errorStyle="stop" operator="between" showDropDown="false" showErrorMessage="false" showInputMessage="false" sqref="B5" type="list">
      <formula1>PORTFOLIO!$A$6:$A$55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2026-10-02T06:21:41Z</dcterms:created>
  <dc:creator>openpyxl</dc:creator>
  <dc:description/>
  <dc:language>en-US</dc:language>
  <cp:lastModifiedBy/>
  <dcterms:modified xsi:type="dcterms:W3CDTF">2026-10-02T06:21:43Z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